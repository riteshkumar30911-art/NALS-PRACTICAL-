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wan\Desktop\"/>
    </mc:Choice>
  </mc:AlternateContent>
  <xr:revisionPtr revIDLastSave="0" documentId="13_ncr:1_{7AE486A7-D7A5-48C7-B5F7-5078C0A069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udent Data" sheetId="1" r:id="rId1"/>
    <sheet name="Marks analysis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K2" i="1"/>
  <c r="K3" i="1"/>
  <c r="K4" i="1"/>
  <c r="K5" i="1"/>
  <c r="N5" i="1" s="1"/>
  <c r="K6" i="1"/>
  <c r="N6" i="1" s="1"/>
  <c r="K7" i="1"/>
  <c r="K8" i="1"/>
  <c r="K9" i="1"/>
  <c r="N9" i="1" s="1"/>
  <c r="K10" i="1"/>
  <c r="N10" i="1" s="1"/>
  <c r="K11" i="1"/>
  <c r="K12" i="1"/>
  <c r="K13" i="1"/>
  <c r="N13" i="1" s="1"/>
  <c r="K14" i="1"/>
  <c r="N14" i="1" s="1"/>
  <c r="K15" i="1"/>
  <c r="K16" i="1"/>
  <c r="O3" i="1"/>
  <c r="O4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O2" i="1"/>
  <c r="N4" i="1"/>
  <c r="N7" i="1"/>
  <c r="N8" i="1"/>
  <c r="N11" i="1"/>
  <c r="N12" i="1"/>
  <c r="N15" i="1"/>
  <c r="N16" i="1"/>
  <c r="N2" i="1"/>
  <c r="B19" i="1" l="1"/>
  <c r="B18" i="1"/>
</calcChain>
</file>

<file path=xl/sharedStrings.xml><?xml version="1.0" encoding="utf-8"?>
<sst xmlns="http://schemas.openxmlformats.org/spreadsheetml/2006/main" count="125" uniqueCount="86">
  <si>
    <t>Name</t>
  </si>
  <si>
    <t>Roll No</t>
  </si>
  <si>
    <t>Class</t>
  </si>
  <si>
    <t>City</t>
  </si>
  <si>
    <t>Subj1</t>
  </si>
  <si>
    <t>Marks1</t>
  </si>
  <si>
    <t>Subj2</t>
  </si>
  <si>
    <t>Marks2</t>
  </si>
  <si>
    <t>Subj3</t>
  </si>
  <si>
    <t>Marks3</t>
  </si>
  <si>
    <t>Total Marks</t>
  </si>
  <si>
    <t>Rahul Verma</t>
  </si>
  <si>
    <t>Math</t>
  </si>
  <si>
    <t>Science</t>
  </si>
  <si>
    <t>English</t>
  </si>
  <si>
    <t>Neha Sharma</t>
  </si>
  <si>
    <t>Jaipur</t>
  </si>
  <si>
    <t>History</t>
  </si>
  <si>
    <t>Aman Khan</t>
  </si>
  <si>
    <t>Lucknow</t>
  </si>
  <si>
    <t>Computer</t>
  </si>
  <si>
    <t>Pooja Patel</t>
  </si>
  <si>
    <t>Surat</t>
  </si>
  <si>
    <t>Hindi</t>
  </si>
  <si>
    <t>Suresh Das</t>
  </si>
  <si>
    <t>Geography</t>
  </si>
  <si>
    <t>Ankit Singh</t>
  </si>
  <si>
    <t>Patna</t>
  </si>
  <si>
    <t>Riya Gupta</t>
  </si>
  <si>
    <t>Noida</t>
  </si>
  <si>
    <t>Mohit Jain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</si>
  <si>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</si>
  <si>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</si>
  <si>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</si>
  <si>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</si>
  <si>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</si>
  <si>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</si>
  <si>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</si>
  <si>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</si>
  <si>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</si>
  <si>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</si>
  <si>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Punjabi</t>
  </si>
  <si>
    <t>Arjun Mehta</t>
  </si>
  <si>
    <t>Mumbai</t>
  </si>
  <si>
    <t>Kavya Nair</t>
  </si>
  <si>
    <t>Kochi</t>
  </si>
  <si>
    <t>First Name</t>
  </si>
  <si>
    <t>Last Name</t>
  </si>
  <si>
    <t>Rahul</t>
  </si>
  <si>
    <t>Neha</t>
  </si>
  <si>
    <t>Aman</t>
  </si>
  <si>
    <t>Pooja</t>
  </si>
  <si>
    <t>Suresh</t>
  </si>
  <si>
    <t>Ankit</t>
  </si>
  <si>
    <t>Riya</t>
  </si>
  <si>
    <t>Mohit</t>
  </si>
  <si>
    <t>Sneha</t>
  </si>
  <si>
    <t>Karan</t>
  </si>
  <si>
    <t>Verma</t>
  </si>
  <si>
    <t>Sharma</t>
  </si>
  <si>
    <t>Khan</t>
  </si>
  <si>
    <t>Patel</t>
  </si>
  <si>
    <t>Das</t>
  </si>
  <si>
    <t>Singh</t>
  </si>
  <si>
    <t>Gupta</t>
  </si>
  <si>
    <t>Jain</t>
  </si>
  <si>
    <t>Iyer</t>
  </si>
  <si>
    <t>Malhotra</t>
  </si>
  <si>
    <t>Aditi</t>
  </si>
  <si>
    <t>Nikhil</t>
  </si>
  <si>
    <t>Simran</t>
  </si>
  <si>
    <t>Arjun</t>
  </si>
  <si>
    <t>Kavya</t>
  </si>
  <si>
    <t>Rao</t>
  </si>
  <si>
    <t>Pawar</t>
  </si>
  <si>
    <t>Kaur</t>
  </si>
  <si>
    <t>Mehta</t>
  </si>
  <si>
    <t>Nair</t>
  </si>
  <si>
    <t>Delhi</t>
  </si>
  <si>
    <t>Pass/Fail</t>
  </si>
  <si>
    <t>No. of students who belong to city Delhi</t>
  </si>
  <si>
    <t>Average</t>
  </si>
  <si>
    <t>Max</t>
  </si>
  <si>
    <t>Min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</si>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</sst>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rgb="FFFF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Data'!$E$1</c:f>
              <c:strCache>
                <c:ptCount val="1"/>
                <c:pt idx="0">
                  <c:v>Subj1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'Student Data'!$E$2:$E$17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0-4DC5-B07C-DA9B3A3752D8}"/>
            </c:ext>
          </c:extLst>
        </c:ser>
        <c:ser>
          <c:idx val="1"/>
          <c:order val="1"/>
          <c:tx>
            <c:strRef>
              <c:f>'Student Data'!$F$1</c:f>
              <c:strCache>
                <c:ptCount val="1"/>
                <c:pt idx="0">
                  <c:v>Marks1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'Student Data'!$F$2:$F$17</c:f>
              <c:numCache>
                <c:formatCode>General</c:formatCode>
                <c:ptCount val="16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50</c:v>
                </c:pt>
                <c:pt idx="4">
                  <c:v>88</c:v>
                </c:pt>
                <c:pt idx="5">
                  <c:v>60</c:v>
                </c:pt>
                <c:pt idx="6">
                  <c:v>92</c:v>
                </c:pt>
                <c:pt idx="7">
                  <c:v>81</c:v>
                </c:pt>
                <c:pt idx="8">
                  <c:v>90</c:v>
                </c:pt>
                <c:pt idx="9">
                  <c:v>74</c:v>
                </c:pt>
                <c:pt idx="10">
                  <c:v>86</c:v>
                </c:pt>
                <c:pt idx="11">
                  <c:v>89</c:v>
                </c:pt>
                <c:pt idx="12">
                  <c:v>80</c:v>
                </c:pt>
                <c:pt idx="13">
                  <c:v>93</c:v>
                </c:pt>
                <c:pt idx="1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80-4DC5-B07C-DA9B3A375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077407"/>
        <c:axId val="1738077823"/>
      </c:barChart>
      <c:catAx>
        <c:axId val="1738077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77823"/>
        <c:crosses val="autoZero"/>
        <c:auto val="1"/>
        <c:lblAlgn val="ctr"/>
        <c:lblOffset val="100"/>
        <c:noMultiLvlLbl val="0"/>
      </c:catAx>
      <c:valAx>
        <c:axId val="173807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07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DE-4A60-8577-2D373B4230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E-4A60-8577-2D373B4230AE}"/>
              </c:ext>
            </c:extLst>
          </c:dPt>
          <c:cat>
            <c:strRef>
              <c:f>'Student Data'!$A$18:$A$19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'Student Data'!$B$18:$B$19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DE-4A60-8577-2D373B423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</xdr:row>
      <xdr:rowOff>201930</xdr:rowOff>
    </xdr:from>
    <xdr:to>
      <xdr:col>8</xdr:col>
      <xdr:colOff>998220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DB3CF-981A-4576-83FF-2F858D1F4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579120</xdr:colOff>
      <xdr:row>21</xdr:row>
      <xdr:rowOff>240030</xdr:rowOff>
    </xdr:from>
    <xdr:to>
      <xdr:col>8</xdr:col>
      <xdr:colOff>1005840</xdr:colOff>
      <xdr:row>32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95517C-FE90-4633-8CD9-292CC5D9D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83690-7B4E-43CC-9FC7-844931D6470A}" name="Table1" displayName="Table1" ref="A1:N16" totalsRowShown="0" headerRowDxfId="0">
  <autoFilter ref="A1:N16" xr:uid="{21483690-7B4E-43CC-9FC7-844931D6470A}"/>
  <tableColumns count="14">
    <tableColumn id="1" xr3:uid="{ABEA825C-D54F-424F-A89D-326978D33E08}" name="Name" dataDxfId="11"/>
    <tableColumn id="2" xr3:uid="{C45B0F73-8AA7-4F5C-8E50-0ED5BE0FEDB1}" name="Roll No" dataDxfId="10"/>
    <tableColumn id="3" xr3:uid="{1FE9349C-9D71-4E9B-A37E-604A304C9ABF}" name="Class" dataDxfId="9"/>
    <tableColumn id="4" xr3:uid="{80E2F44B-94D2-4AA7-9E0D-BBAD78FEC122}" name="City" dataDxfId="8"/>
    <tableColumn id="5" xr3:uid="{D62C64BB-7D16-403C-ADAC-A2C395439594}" name="Subj1" dataDxfId="7"/>
    <tableColumn id="6" xr3:uid="{5B60A592-45F2-40AB-B2B6-B22E683FDA13}" name="Marks1" dataDxfId="6"/>
    <tableColumn id="7" xr3:uid="{27BE2A7C-66F8-4A5B-8C86-87C01F6F1504}" name="Subj2" dataDxfId="5"/>
    <tableColumn id="8" xr3:uid="{B0E68ADE-2DFF-4566-98A8-B4A452AFAA88}" name="Marks2" dataDxfId="4"/>
    <tableColumn id="9" xr3:uid="{470C1C5D-8C49-4AE3-A77C-054620E60A81}" name="Subj3" dataDxfId="3"/>
    <tableColumn id="10" xr3:uid="{EFBD0716-19E4-4E57-88C6-B54DE8BE1082}" name="Marks3" dataDxfId="2"/>
    <tableColumn id="11" xr3:uid="{2C6BA1E6-6BD2-4007-9C1E-EF4B18A71978}" name="Total Marks" dataDxfId="1">
      <calculatedColumnFormula>SUM(F2+H2+J2)</calculatedColumnFormula>
    </tableColumn>
    <tableColumn id="12" xr3:uid="{7F4EDC45-9C8F-4957-919A-073EBD243FD4}" name="First Name"/>
    <tableColumn id="13" xr3:uid="{FE6E3E3B-3432-4BE7-970E-11BCA8F0EE61}" name="Last Name"/>
    <tableColumn id="14" xr3:uid="{D333D881-908C-4E18-A5C1-7B40E620E577}" name="Pass/Fail">
      <calculatedColumnFormula>IF(K2&gt;120,"pass","Fail")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Normal="100" workbookViewId="0">
      <selection activeCell="C3" sqref="C3"/>
    </sheetView>
  </sheetViews>
  <sheetFormatPr defaultRowHeight="20.399999999999999" x14ac:dyDescent="0.35"/>
  <cols>
    <col min="11" max="11" width="11.86328125" customWidth="1"/>
    <col min="12" max="12" width="11.33203125" customWidth="1"/>
    <col min="13" max="13" width="11.06640625" customWidth="1"/>
    <col min="14" max="14" width="9.6640625" customWidth="1"/>
  </cols>
  <sheetData>
    <row r="1" spans="1:15" ht="10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47</v>
      </c>
      <c r="N1" s="1" t="s">
        <v>79</v>
      </c>
      <c r="O1" s="1" t="s">
        <v>80</v>
      </c>
    </row>
    <row r="2" spans="1:15" ht="40.799999999999997" x14ac:dyDescent="0.35">
      <c r="A2" s="2" t="s">
        <v>11</v>
      </c>
      <c r="B2" s="2">
        <v>1</v>
      </c>
      <c r="C2" s="2">
        <v>9</v>
      </c>
      <c r="D2" s="2" t="s">
        <v>78</v>
      </c>
      <c r="E2" s="2" t="s">
        <v>12</v>
      </c>
      <c r="F2" s="2">
        <v>78</v>
      </c>
      <c r="G2" s="2" t="s">
        <v>13</v>
      </c>
      <c r="H2" s="2">
        <v>82</v>
      </c>
      <c r="I2" s="2" t="s">
        <v>14</v>
      </c>
      <c r="J2" s="2">
        <v>75</v>
      </c>
      <c r="K2" s="2">
        <f>SUM(F2+H2+J2)</f>
        <v>235</v>
      </c>
      <c r="L2" t="s">
        <v>48</v>
      </c>
      <c r="M2" t="s">
        <v>58</v>
      </c>
      <c r="N2" t="str">
        <f>IF(K2&gt;120,"pass","Fail")</f>
        <v>pass</v>
      </c>
      <c r="O2">
        <f>COUNTIF(D2:D16,"Delhi")</f>
        <v>3</v>
      </c>
    </row>
    <row r="3" spans="1:15" ht="40.799999999999997" x14ac:dyDescent="0.35">
      <c r="A3" s="2" t="s">
        <v>15</v>
      </c>
      <c r="B3" s="2">
        <v>2</v>
      </c>
      <c r="C3" s="2">
        <v>9</v>
      </c>
      <c r="D3" s="2" t="s">
        <v>16</v>
      </c>
      <c r="E3" s="2" t="s">
        <v>14</v>
      </c>
      <c r="F3" s="2">
        <v>85</v>
      </c>
      <c r="G3" s="2" t="s">
        <v>17</v>
      </c>
      <c r="H3" s="2">
        <v>80</v>
      </c>
      <c r="I3" s="2" t="s">
        <v>13</v>
      </c>
      <c r="J3" s="2">
        <v>88</v>
      </c>
      <c r="K3" s="2">
        <f t="shared" ref="K3:K16" si="0">SUM(F3+H3+J3)</f>
        <v>253</v>
      </c>
      <c r="L3" t="s">
        <v>49</v>
      </c>
      <c r="M3" t="s">
        <v>59</v>
      </c>
      <c r="N3" s="3" t="str">
        <f>IF(K3&gt;120,"pass","Fail")</f>
        <v>pass</v>
      </c>
      <c r="O3">
        <f t="shared" ref="O3:O4" si="1">COUNTIF(D3:D17,"Delhi")</f>
        <v>2</v>
      </c>
    </row>
    <row r="4" spans="1:15" ht="40.799999999999997" x14ac:dyDescent="0.35">
      <c r="A4" s="2" t="s">
        <v>18</v>
      </c>
      <c r="B4" s="2">
        <v>3</v>
      </c>
      <c r="C4" s="2">
        <v>9</v>
      </c>
      <c r="D4" s="2" t="s">
        <v>19</v>
      </c>
      <c r="E4" s="2" t="s">
        <v>12</v>
      </c>
      <c r="F4" s="2">
        <v>90</v>
      </c>
      <c r="G4" s="2" t="s">
        <v>20</v>
      </c>
      <c r="H4" s="2">
        <v>92</v>
      </c>
      <c r="I4" s="2" t="s">
        <v>13</v>
      </c>
      <c r="J4" s="2">
        <v>86</v>
      </c>
      <c r="K4" s="2">
        <f t="shared" si="0"/>
        <v>268</v>
      </c>
      <c r="L4" t="s">
        <v>50</v>
      </c>
      <c r="M4" t="s">
        <v>60</v>
      </c>
      <c r="N4" t="str">
        <f t="shared" ref="N3:N16" si="2">IF(K4&gt;120,"pass","Fail")</f>
        <v>pass</v>
      </c>
      <c r="O4">
        <f t="shared" si="1"/>
        <v>2</v>
      </c>
    </row>
    <row r="5" spans="1:15" ht="40.799999999999997" x14ac:dyDescent="0.35">
      <c r="A5" s="2" t="s">
        <v>21</v>
      </c>
      <c r="B5" s="2">
        <v>4</v>
      </c>
      <c r="C5" s="2">
        <v>9</v>
      </c>
      <c r="D5" s="2" t="s">
        <v>22</v>
      </c>
      <c r="E5" s="2" t="s">
        <v>12</v>
      </c>
      <c r="F5" s="2">
        <v>50</v>
      </c>
      <c r="G5" s="2" t="s">
        <v>14</v>
      </c>
      <c r="H5" s="2">
        <v>10</v>
      </c>
      <c r="I5" s="2" t="s">
        <v>23</v>
      </c>
      <c r="J5" s="2">
        <v>40</v>
      </c>
      <c r="K5" s="2">
        <f t="shared" si="0"/>
        <v>100</v>
      </c>
      <c r="L5" t="s">
        <v>51</v>
      </c>
      <c r="M5" t="s">
        <v>61</v>
      </c>
      <c r="N5" t="str">
        <f t="shared" si="2"/>
        <v>Fail</v>
      </c>
    </row>
    <row r="6" spans="1:15" ht="40.799999999999997" x14ac:dyDescent="0.35">
      <c r="A6" s="2" t="s">
        <v>24</v>
      </c>
      <c r="B6" s="2">
        <v>5</v>
      </c>
      <c r="C6" s="2">
        <v>9</v>
      </c>
      <c r="D6" s="2" t="s">
        <v>78</v>
      </c>
      <c r="E6" s="2" t="s">
        <v>13</v>
      </c>
      <c r="F6" s="2">
        <v>88</v>
      </c>
      <c r="G6" s="2" t="s">
        <v>12</v>
      </c>
      <c r="H6" s="2">
        <v>84</v>
      </c>
      <c r="I6" s="2" t="s">
        <v>25</v>
      </c>
      <c r="J6" s="2">
        <v>79</v>
      </c>
      <c r="K6" s="2">
        <f t="shared" si="0"/>
        <v>251</v>
      </c>
      <c r="L6" t="s">
        <v>52</v>
      </c>
      <c r="M6" t="s">
        <v>62</v>
      </c>
      <c r="N6" t="str">
        <f t="shared" si="2"/>
        <v>pass</v>
      </c>
    </row>
    <row r="7" spans="1:15" ht="40.799999999999997" x14ac:dyDescent="0.35">
      <c r="A7" s="2" t="s">
        <v>26</v>
      </c>
      <c r="B7" s="2">
        <v>6</v>
      </c>
      <c r="C7" s="2">
        <v>9</v>
      </c>
      <c r="D7" s="2" t="s">
        <v>27</v>
      </c>
      <c r="E7" s="2" t="s">
        <v>12</v>
      </c>
      <c r="F7" s="2">
        <v>60</v>
      </c>
      <c r="G7" s="2" t="s">
        <v>13</v>
      </c>
      <c r="H7" s="2">
        <v>10</v>
      </c>
      <c r="I7" s="2" t="s">
        <v>14</v>
      </c>
      <c r="J7" s="2">
        <v>20</v>
      </c>
      <c r="K7" s="2">
        <f t="shared" si="0"/>
        <v>90</v>
      </c>
      <c r="L7" t="s">
        <v>53</v>
      </c>
      <c r="M7" t="s">
        <v>63</v>
      </c>
      <c r="N7" t="str">
        <f t="shared" si="2"/>
        <v>Fail</v>
      </c>
    </row>
    <row r="8" spans="1:15" ht="40.799999999999997" x14ac:dyDescent="0.35">
      <c r="A8" s="2" t="s">
        <v>28</v>
      </c>
      <c r="B8" s="2">
        <v>7</v>
      </c>
      <c r="C8" s="2">
        <v>9</v>
      </c>
      <c r="D8" s="2" t="s">
        <v>29</v>
      </c>
      <c r="E8" s="2" t="s">
        <v>14</v>
      </c>
      <c r="F8" s="2">
        <v>92</v>
      </c>
      <c r="G8" s="2" t="s">
        <v>13</v>
      </c>
      <c r="H8" s="2">
        <v>89</v>
      </c>
      <c r="I8" s="2" t="s">
        <v>20</v>
      </c>
      <c r="J8" s="2">
        <v>94</v>
      </c>
      <c r="K8" s="2">
        <f t="shared" si="0"/>
        <v>275</v>
      </c>
      <c r="L8" t="s">
        <v>54</v>
      </c>
      <c r="M8" t="s">
        <v>64</v>
      </c>
      <c r="N8" t="str">
        <f t="shared" si="2"/>
        <v>pass</v>
      </c>
    </row>
    <row r="9" spans="1:15" x14ac:dyDescent="0.35">
      <c r="A9" s="2" t="s">
        <v>30</v>
      </c>
      <c r="B9" s="2">
        <v>8</v>
      </c>
      <c r="C9" s="2">
        <v>9</v>
      </c>
      <c r="D9" s="2" t="s">
        <v>31</v>
      </c>
      <c r="E9" s="2" t="s">
        <v>12</v>
      </c>
      <c r="F9" s="2">
        <v>81</v>
      </c>
      <c r="G9" s="2" t="s">
        <v>14</v>
      </c>
      <c r="H9" s="2">
        <v>77</v>
      </c>
      <c r="I9" s="2" t="s">
        <v>13</v>
      </c>
      <c r="J9" s="2">
        <v>85</v>
      </c>
      <c r="K9" s="2">
        <f t="shared" si="0"/>
        <v>243</v>
      </c>
      <c r="L9" t="s">
        <v>55</v>
      </c>
      <c r="M9" t="s">
        <v>65</v>
      </c>
      <c r="N9" t="str">
        <f t="shared" si="2"/>
        <v>pass</v>
      </c>
    </row>
    <row r="10" spans="1:15" ht="40.799999999999997" x14ac:dyDescent="0.35">
      <c r="A10" s="2" t="s">
        <v>32</v>
      </c>
      <c r="B10" s="2">
        <v>9</v>
      </c>
      <c r="C10" s="2">
        <v>9</v>
      </c>
      <c r="D10" s="2" t="s">
        <v>33</v>
      </c>
      <c r="E10" s="2" t="s">
        <v>13</v>
      </c>
      <c r="F10" s="2">
        <v>90</v>
      </c>
      <c r="G10" s="2" t="s">
        <v>12</v>
      </c>
      <c r="H10" s="2">
        <v>88</v>
      </c>
      <c r="I10" s="2" t="s">
        <v>14</v>
      </c>
      <c r="J10" s="2">
        <v>91</v>
      </c>
      <c r="K10" s="2">
        <f t="shared" si="0"/>
        <v>269</v>
      </c>
      <c r="L10" t="s">
        <v>56</v>
      </c>
      <c r="M10" t="s">
        <v>66</v>
      </c>
      <c r="N10" t="str">
        <f t="shared" si="2"/>
        <v>pass</v>
      </c>
    </row>
    <row r="11" spans="1:15" ht="40.799999999999997" x14ac:dyDescent="0.35">
      <c r="A11" s="2" t="s">
        <v>34</v>
      </c>
      <c r="B11" s="2">
        <v>10</v>
      </c>
      <c r="C11" s="2">
        <v>9</v>
      </c>
      <c r="D11" s="2" t="s">
        <v>35</v>
      </c>
      <c r="E11" s="2" t="s">
        <v>12</v>
      </c>
      <c r="F11" s="2">
        <v>74</v>
      </c>
      <c r="G11" s="2" t="s">
        <v>13</v>
      </c>
      <c r="H11" s="2">
        <v>79</v>
      </c>
      <c r="I11" s="2" t="s">
        <v>20</v>
      </c>
      <c r="J11" s="2">
        <v>82</v>
      </c>
      <c r="K11" s="2">
        <f t="shared" si="0"/>
        <v>235</v>
      </c>
      <c r="L11" t="s">
        <v>57</v>
      </c>
      <c r="M11" t="s">
        <v>67</v>
      </c>
      <c r="N11" t="str">
        <f t="shared" si="2"/>
        <v>pass</v>
      </c>
    </row>
    <row r="12" spans="1:15" x14ac:dyDescent="0.35">
      <c r="A12" s="2" t="s">
        <v>36</v>
      </c>
      <c r="B12" s="2">
        <v>11</v>
      </c>
      <c r="C12" s="2">
        <v>9</v>
      </c>
      <c r="D12" s="2" t="s">
        <v>37</v>
      </c>
      <c r="E12" s="2" t="s">
        <v>14</v>
      </c>
      <c r="F12" s="2">
        <v>86</v>
      </c>
      <c r="G12" s="2" t="s">
        <v>17</v>
      </c>
      <c r="H12" s="2">
        <v>83</v>
      </c>
      <c r="I12" s="2" t="s">
        <v>13</v>
      </c>
      <c r="J12" s="2">
        <v>88</v>
      </c>
      <c r="K12" s="2">
        <f t="shared" si="0"/>
        <v>257</v>
      </c>
      <c r="L12" t="s">
        <v>68</v>
      </c>
      <c r="M12" t="s">
        <v>73</v>
      </c>
      <c r="N12" t="str">
        <f t="shared" si="2"/>
        <v>pass</v>
      </c>
    </row>
    <row r="13" spans="1:15" ht="40.799999999999997" x14ac:dyDescent="0.35">
      <c r="A13" s="2" t="s">
        <v>38</v>
      </c>
      <c r="B13" s="2">
        <v>12</v>
      </c>
      <c r="C13" s="2">
        <v>9</v>
      </c>
      <c r="D13" s="2" t="s">
        <v>39</v>
      </c>
      <c r="E13" s="2" t="s">
        <v>12</v>
      </c>
      <c r="F13" s="2">
        <v>89</v>
      </c>
      <c r="G13" s="2" t="s">
        <v>13</v>
      </c>
      <c r="H13" s="2">
        <v>91</v>
      </c>
      <c r="I13" s="2" t="s">
        <v>25</v>
      </c>
      <c r="J13" s="2">
        <v>87</v>
      </c>
      <c r="K13" s="2">
        <f t="shared" si="0"/>
        <v>267</v>
      </c>
      <c r="L13" t="s">
        <v>69</v>
      </c>
      <c r="M13" t="s">
        <v>74</v>
      </c>
      <c r="N13" t="str">
        <f t="shared" si="2"/>
        <v>pass</v>
      </c>
    </row>
    <row r="14" spans="1:15" ht="40.799999999999997" x14ac:dyDescent="0.35">
      <c r="A14" s="2" t="s">
        <v>40</v>
      </c>
      <c r="B14" s="2">
        <v>13</v>
      </c>
      <c r="C14" s="2">
        <v>9</v>
      </c>
      <c r="D14" s="2" t="s">
        <v>78</v>
      </c>
      <c r="E14" s="2" t="s">
        <v>14</v>
      </c>
      <c r="F14" s="2">
        <v>80</v>
      </c>
      <c r="G14" s="2" t="s">
        <v>41</v>
      </c>
      <c r="H14" s="2">
        <v>85</v>
      </c>
      <c r="I14" s="2" t="s">
        <v>13</v>
      </c>
      <c r="J14" s="2">
        <v>78</v>
      </c>
      <c r="K14" s="2">
        <f t="shared" si="0"/>
        <v>243</v>
      </c>
      <c r="L14" t="s">
        <v>70</v>
      </c>
      <c r="M14" t="s">
        <v>75</v>
      </c>
      <c r="N14" t="str">
        <f t="shared" si="2"/>
        <v>pass</v>
      </c>
    </row>
    <row r="15" spans="1:15" ht="40.799999999999997" x14ac:dyDescent="0.35">
      <c r="A15" s="2" t="s">
        <v>42</v>
      </c>
      <c r="B15" s="2">
        <v>14</v>
      </c>
      <c r="C15" s="2">
        <v>9</v>
      </c>
      <c r="D15" s="2" t="s">
        <v>43</v>
      </c>
      <c r="E15" s="2" t="s">
        <v>12</v>
      </c>
      <c r="F15" s="2">
        <v>93</v>
      </c>
      <c r="G15" s="2" t="s">
        <v>13</v>
      </c>
      <c r="H15" s="2">
        <v>90</v>
      </c>
      <c r="I15" s="2" t="s">
        <v>14</v>
      </c>
      <c r="J15" s="2">
        <v>92</v>
      </c>
      <c r="K15" s="2">
        <f t="shared" si="0"/>
        <v>275</v>
      </c>
      <c r="L15" t="s">
        <v>71</v>
      </c>
      <c r="M15" t="s">
        <v>76</v>
      </c>
      <c r="N15" t="str">
        <f t="shared" si="2"/>
        <v>pass</v>
      </c>
    </row>
    <row r="16" spans="1:15" ht="40.799999999999997" x14ac:dyDescent="0.35">
      <c r="A16" s="2" t="s">
        <v>44</v>
      </c>
      <c r="B16" s="2">
        <v>15</v>
      </c>
      <c r="C16" s="2">
        <v>9</v>
      </c>
      <c r="D16" s="2" t="s">
        <v>45</v>
      </c>
      <c r="E16" s="2" t="s">
        <v>13</v>
      </c>
      <c r="F16" s="2">
        <v>87</v>
      </c>
      <c r="G16" s="2" t="s">
        <v>12</v>
      </c>
      <c r="H16" s="2">
        <v>84</v>
      </c>
      <c r="I16" s="2" t="s">
        <v>14</v>
      </c>
      <c r="J16" s="2">
        <v>89</v>
      </c>
      <c r="K16" s="2">
        <f t="shared" si="0"/>
        <v>260</v>
      </c>
      <c r="L16" t="s">
        <v>72</v>
      </c>
      <c r="M16" t="s">
        <v>77</v>
      </c>
      <c r="N16" t="str">
        <f t="shared" si="2"/>
        <v>pass</v>
      </c>
    </row>
    <row r="17" spans="1:11" x14ac:dyDescent="0.35">
      <c r="K17" s="2"/>
    </row>
    <row r="18" spans="1:11" x14ac:dyDescent="0.35">
      <c r="A18" s="2" t="s">
        <v>84</v>
      </c>
      <c r="B18">
        <f>COUNTIF(N:N,"pass")</f>
        <v>13</v>
      </c>
    </row>
    <row r="19" spans="1:11" x14ac:dyDescent="0.35">
      <c r="A19" s="2" t="s">
        <v>85</v>
      </c>
      <c r="B19">
        <f>COUNTIF(N:N,"fail")</f>
        <v>2</v>
      </c>
    </row>
  </sheetData>
  <phoneticPr fontId="3" type="noConversion"/>
  <conditionalFormatting sqref="K1:K1048576">
    <cfRule type="cellIs" dxfId="12" priority="1" operator="lessThan">
      <formula>150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2" sqref="C2:C16"/>
    </sheetView>
  </sheetViews>
  <sheetFormatPr defaultRowHeight="20.399999999999999" x14ac:dyDescent="0.35"/>
  <sheetData>
    <row r="1" spans="1:3" x14ac:dyDescent="0.35">
      <c r="A1" t="s">
        <v>81</v>
      </c>
      <c r="B1" t="s">
        <v>82</v>
      </c>
      <c r="C1" t="s">
        <v>83</v>
      </c>
    </row>
    <row r="2" spans="1:3" x14ac:dyDescent="0.35">
      <c r="A2">
        <f>AVERAGE('Student Data'!F2,'Student Data'!H2,'Student Data'!J2)</f>
        <v>78.333333333333329</v>
      </c>
      <c r="B2">
        <f>MAX('Student Data'!F2,'Student Data'!H2,'Student Data'!J2)</f>
        <v>82</v>
      </c>
      <c r="C2">
        <f>MIN('Student Data'!F2,'Student Data'!H2,'Student Data'!J2)</f>
        <v>75</v>
      </c>
    </row>
    <row r="3" spans="1:3" x14ac:dyDescent="0.35">
      <c r="A3">
        <f>AVERAGE('Student Data'!F3,'Student Data'!H3,'Student Data'!J3)</f>
        <v>84.333333333333329</v>
      </c>
      <c r="B3">
        <f>MAX('Student Data'!F3,'Student Data'!H3,'Student Data'!J3)</f>
        <v>88</v>
      </c>
      <c r="C3">
        <f>MIN('Student Data'!F3,'Student Data'!H3,'Student Data'!J3)</f>
        <v>80</v>
      </c>
    </row>
    <row r="4" spans="1:3" x14ac:dyDescent="0.35">
      <c r="A4">
        <f>AVERAGE('Student Data'!F4,'Student Data'!H4,'Student Data'!J4)</f>
        <v>89.333333333333329</v>
      </c>
      <c r="B4">
        <f>MAX('Student Data'!F4,'Student Data'!H4,'Student Data'!J4)</f>
        <v>92</v>
      </c>
      <c r="C4">
        <f>MIN('Student Data'!F4,'Student Data'!H4,'Student Data'!J4)</f>
        <v>86</v>
      </c>
    </row>
    <row r="5" spans="1:3" x14ac:dyDescent="0.35">
      <c r="A5">
        <f>AVERAGE('Student Data'!F5,'Student Data'!H5,'Student Data'!J5)</f>
        <v>33.333333333333336</v>
      </c>
      <c r="B5">
        <f>MAX('Student Data'!F5,'Student Data'!H5,'Student Data'!J5)</f>
        <v>50</v>
      </c>
      <c r="C5">
        <f>MIN('Student Data'!F5,'Student Data'!H5,'Student Data'!J5)</f>
        <v>10</v>
      </c>
    </row>
    <row r="6" spans="1:3" x14ac:dyDescent="0.35">
      <c r="A6">
        <f>AVERAGE('Student Data'!F6,'Student Data'!H6,'Student Data'!J6)</f>
        <v>83.666666666666671</v>
      </c>
      <c r="B6">
        <f>MAX('Student Data'!F6,'Student Data'!H6,'Student Data'!J6)</f>
        <v>88</v>
      </c>
      <c r="C6">
        <f>MIN('Student Data'!F6,'Student Data'!H6,'Student Data'!J6)</f>
        <v>79</v>
      </c>
    </row>
    <row r="7" spans="1:3" x14ac:dyDescent="0.35">
      <c r="A7">
        <f>AVERAGE('Student Data'!F7,'Student Data'!H7,'Student Data'!J7)</f>
        <v>30</v>
      </c>
      <c r="B7">
        <f>MAX('Student Data'!F7,'Student Data'!H7,'Student Data'!J7)</f>
        <v>60</v>
      </c>
      <c r="C7">
        <f>MIN('Student Data'!F7,'Student Data'!H7,'Student Data'!J7)</f>
        <v>10</v>
      </c>
    </row>
    <row r="8" spans="1:3" x14ac:dyDescent="0.35">
      <c r="A8">
        <f>AVERAGE('Student Data'!F8,'Student Data'!H8,'Student Data'!J8)</f>
        <v>91.666666666666671</v>
      </c>
      <c r="B8">
        <f>MAX('Student Data'!F8,'Student Data'!H8,'Student Data'!J8)</f>
        <v>94</v>
      </c>
      <c r="C8">
        <f>MIN('Student Data'!F8,'Student Data'!H8,'Student Data'!J8)</f>
        <v>89</v>
      </c>
    </row>
    <row r="9" spans="1:3" x14ac:dyDescent="0.35">
      <c r="A9">
        <f>AVERAGE('Student Data'!F9,'Student Data'!H9,'Student Data'!J9)</f>
        <v>81</v>
      </c>
      <c r="B9">
        <f>MAX('Student Data'!F9,'Student Data'!H9,'Student Data'!J9)</f>
        <v>85</v>
      </c>
      <c r="C9">
        <f>MIN('Student Data'!F9,'Student Data'!H9,'Student Data'!J9)</f>
        <v>77</v>
      </c>
    </row>
    <row r="10" spans="1:3" x14ac:dyDescent="0.35">
      <c r="A10">
        <f>AVERAGE('Student Data'!F10,'Student Data'!H10,'Student Data'!J10)</f>
        <v>89.666666666666671</v>
      </c>
      <c r="B10">
        <f>MAX('Student Data'!F10,'Student Data'!H10,'Student Data'!J10)</f>
        <v>91</v>
      </c>
      <c r="C10">
        <f>MIN('Student Data'!F10,'Student Data'!H10,'Student Data'!J10)</f>
        <v>88</v>
      </c>
    </row>
    <row r="11" spans="1:3" x14ac:dyDescent="0.35">
      <c r="A11">
        <f>AVERAGE('Student Data'!F11,'Student Data'!H11,'Student Data'!J11)</f>
        <v>78.333333333333329</v>
      </c>
      <c r="B11">
        <f>MAX('Student Data'!F11,'Student Data'!H11,'Student Data'!J11)</f>
        <v>82</v>
      </c>
      <c r="C11">
        <f>MIN('Student Data'!F11,'Student Data'!H11,'Student Data'!J11)</f>
        <v>74</v>
      </c>
    </row>
    <row r="12" spans="1:3" x14ac:dyDescent="0.35">
      <c r="A12">
        <f>AVERAGE('Student Data'!F12,'Student Data'!H12,'Student Data'!J12)</f>
        <v>85.666666666666671</v>
      </c>
      <c r="B12">
        <f>MAX('Student Data'!F12,'Student Data'!H12,'Student Data'!J12)</f>
        <v>88</v>
      </c>
      <c r="C12">
        <f>MIN('Student Data'!F12,'Student Data'!H12,'Student Data'!J12)</f>
        <v>83</v>
      </c>
    </row>
    <row r="13" spans="1:3" x14ac:dyDescent="0.35">
      <c r="A13">
        <f>AVERAGE('Student Data'!F13,'Student Data'!H13,'Student Data'!J13)</f>
        <v>89</v>
      </c>
      <c r="B13">
        <f>MAX('Student Data'!F13,'Student Data'!H13,'Student Data'!J13)</f>
        <v>91</v>
      </c>
      <c r="C13">
        <f>MIN('Student Data'!F13,'Student Data'!H13,'Student Data'!J13)</f>
        <v>87</v>
      </c>
    </row>
    <row r="14" spans="1:3" x14ac:dyDescent="0.35">
      <c r="A14">
        <f>AVERAGE('Student Data'!F14,'Student Data'!H14,'Student Data'!J14)</f>
        <v>81</v>
      </c>
      <c r="B14">
        <f>MAX('Student Data'!F14,'Student Data'!H14,'Student Data'!J14)</f>
        <v>85</v>
      </c>
      <c r="C14">
        <f>MIN('Student Data'!F14,'Student Data'!H14,'Student Data'!J14)</f>
        <v>78</v>
      </c>
    </row>
    <row r="15" spans="1:3" x14ac:dyDescent="0.35">
      <c r="A15">
        <f>AVERAGE('Student Data'!F15,'Student Data'!H15,'Student Data'!J15)</f>
        <v>91.666666666666671</v>
      </c>
      <c r="B15">
        <f>MAX('Student Data'!F15,'Student Data'!H15,'Student Data'!J15)</f>
        <v>93</v>
      </c>
      <c r="C15">
        <f>MIN('Student Data'!F15,'Student Data'!H15,'Student Data'!J15)</f>
        <v>90</v>
      </c>
    </row>
    <row r="16" spans="1:3" x14ac:dyDescent="0.35">
      <c r="A16">
        <f>AVERAGE('Student Data'!F16,'Student Data'!H16,'Student Data'!J16)</f>
        <v>86.666666666666671</v>
      </c>
      <c r="B16">
        <f>MAX('Student Data'!F16,'Student Data'!H16,'Student Data'!J16)</f>
        <v>89</v>
      </c>
      <c r="C16">
        <f>MIN('Student Data'!F16,'Student Data'!H16,'Student Data'!J16)</f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2" workbookViewId="0"/>
  </sheetViews>
  <sheetFormatPr defaultRowHeight="20.399999999999999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Marks 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Pawan</cp:lastModifiedBy>
  <dcterms:created xsi:type="dcterms:W3CDTF">2025-12-21T10:26:24Z</dcterms:created>
  <dcterms:modified xsi:type="dcterms:W3CDTF">2025-12-26T04:21:58Z</dcterms:modified>
</cp:coreProperties>
</file>