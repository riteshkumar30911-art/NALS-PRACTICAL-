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unal\Desktop\NALS\"/>
    </mc:Choice>
  </mc:AlternateContent>
  <xr:revisionPtr revIDLastSave="0" documentId="13_ncr:1_{B3AA578F-F187-41A3-96AC-BFB646DFEC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  <sheet name="Expence" sheetId="1" r:id="rId2"/>
    <sheet name="Budget" sheetId="2" r:id="rId3"/>
    <sheet name="Chart" sheetId="3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2" i="2"/>
  <c r="I3" i="1"/>
  <c r="I4" i="1"/>
  <c r="I5" i="1"/>
  <c r="I6" i="1"/>
  <c r="I7" i="1"/>
  <c r="I8" i="1"/>
  <c r="I2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<sst xmlns="http://schemas.openxmlformats.org/spreadsheetml/2006/main" count="113" uniqueCount="57">
  <si>
    <t>Date</t>
  </si>
  <si>
    <t>Category</t>
  </si>
  <si>
    <t>Expense Detail</t>
  </si>
  <si>
    <t>Amount</t>
  </si>
  <si>
    <t>Payment Method</t>
  </si>
  <si>
    <t>Food</t>
  </si>
  <si>
    <t>Breakfast</t>
  </si>
  <si>
    <t>Cash</t>
  </si>
  <si>
    <t>Travel</t>
  </si>
  <si>
    <t>Bus fare</t>
  </si>
  <si>
    <t>Lunch</t>
  </si>
  <si>
    <t>Card</t>
  </si>
  <si>
    <t>Entertainment</t>
  </si>
  <si>
    <t>Movie ticket</t>
  </si>
  <si>
    <t xml:space="preserve">Shopping </t>
  </si>
  <si>
    <t>Bags</t>
  </si>
  <si>
    <t>Snacks</t>
  </si>
  <si>
    <t>Taxi</t>
  </si>
  <si>
    <t>UPI</t>
  </si>
  <si>
    <t>Education</t>
  </si>
  <si>
    <t>Notebook</t>
  </si>
  <si>
    <t>Utilities</t>
  </si>
  <si>
    <t>Mobile recharge</t>
  </si>
  <si>
    <t>Dinner</t>
  </si>
  <si>
    <t xml:space="preserve">Footwear </t>
  </si>
  <si>
    <t>Online subscription</t>
  </si>
  <si>
    <t>Train ticket</t>
  </si>
  <si>
    <t>Health</t>
  </si>
  <si>
    <t>Medicine</t>
  </si>
  <si>
    <t>Coffee</t>
  </si>
  <si>
    <t>Shopping</t>
  </si>
  <si>
    <t>Clothes</t>
  </si>
  <si>
    <t>Stationery</t>
  </si>
  <si>
    <t>Fuel</t>
  </si>
  <si>
    <t>Game top-up</t>
  </si>
  <si>
    <t>Chocolates</t>
  </si>
  <si>
    <t>Internet bill</t>
  </si>
  <si>
    <t>Total Expence</t>
  </si>
  <si>
    <t>Budget</t>
  </si>
  <si>
    <t>Difference</t>
  </si>
  <si>
    <t>Day</t>
  </si>
  <si>
    <t>Month</t>
  </si>
  <si>
    <t>Year</t>
  </si>
  <si>
    <t>Row Labels</t>
  </si>
  <si>
    <t>(blank)</t>
  </si>
  <si>
    <t>Grand Total</t>
  </si>
  <si>
    <t>Column Labels</t>
  </si>
  <si>
    <t>Education Total</t>
  </si>
  <si>
    <t>Entertainment Total</t>
  </si>
  <si>
    <t>Food Total</t>
  </si>
  <si>
    <t>Health Total</t>
  </si>
  <si>
    <t>Shopping Total</t>
  </si>
  <si>
    <t>Travel Total</t>
  </si>
  <si>
    <t>Utilities Total</t>
  </si>
  <si>
    <t>(blank) Total</t>
  </si>
  <si>
    <t>(All)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</si>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</sst>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rgb="FF000000"/>
      <name val="Calibri"/>
      <scheme val="minor"/>
    </font>
    <font>
      <b/>
      <sz val="16"/>
      <name val="Arial"/>
    </font>
    <font>
      <sz val="16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64-4EBE-B393-922929871F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64-4EBE-B393-922929871F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64-4EBE-B393-922929871F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64-4EBE-B393-922929871F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64-4EBE-B393-922929871FB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064-4EBE-B393-922929871FB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064-4EBE-B393-922929871FB3}"/>
              </c:ext>
            </c:extLst>
          </c:dPt>
          <c:cat>
            <c:strRef>
              <c:f>Expence!$G$2:$G$8</c:f>
              <c:strCache>
                <c:ptCount val="7"/>
                <c:pt idx="0">
                  <c:v>Food</c:v>
                </c:pt>
                <c:pt idx="1">
                  <c:v>Travel</c:v>
                </c:pt>
                <c:pt idx="2">
                  <c:v>Entertainment</c:v>
                </c:pt>
                <c:pt idx="3">
                  <c:v>Shopping</c:v>
                </c:pt>
                <c:pt idx="4">
                  <c:v>Education</c:v>
                </c:pt>
                <c:pt idx="5">
                  <c:v>Utilities</c:v>
                </c:pt>
                <c:pt idx="6">
                  <c:v>Health</c:v>
                </c:pt>
              </c:strCache>
            </c:strRef>
          </c:cat>
          <c:val>
            <c:numRef>
              <c:f>Expence!$H$2:$H$8</c:f>
              <c:numCache>
                <c:formatCode>General</c:formatCode>
                <c:ptCount val="7"/>
                <c:pt idx="0">
                  <c:v>30265</c:v>
                </c:pt>
                <c:pt idx="1">
                  <c:v>12375</c:v>
                </c:pt>
                <c:pt idx="2">
                  <c:v>16190</c:v>
                </c:pt>
                <c:pt idx="3">
                  <c:v>2500</c:v>
                </c:pt>
                <c:pt idx="4">
                  <c:v>11100</c:v>
                </c:pt>
                <c:pt idx="5">
                  <c:v>5000</c:v>
                </c:pt>
                <c:pt idx="6">
                  <c:v>1320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064-4EBE-B393-922929871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Expence!$F$1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Expence!$F$2:$F$8</c:f>
              <c:numCache>
                <c:formatCode>General</c:formatCode>
                <c:ptCount val="7"/>
                <c:pt idx="0">
                  <c:v>10000</c:v>
                </c:pt>
                <c:pt idx="1">
                  <c:v>15000</c:v>
                </c:pt>
                <c:pt idx="2">
                  <c:v>20000</c:v>
                </c:pt>
                <c:pt idx="3">
                  <c:v>5000</c:v>
                </c:pt>
                <c:pt idx="4">
                  <c:v>5000</c:v>
                </c:pt>
                <c:pt idx="5">
                  <c:v>2000</c:v>
                </c:pt>
                <c:pt idx="6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8-4597-87F3-F2BB8E5126C9}"/>
            </c:ext>
          </c:extLst>
        </c:ser>
        <c:ser>
          <c:idx val="1"/>
          <c:order val="1"/>
          <c:tx>
            <c:strRef>
              <c:f>Expence!$H$1</c:f>
              <c:strCache>
                <c:ptCount val="1"/>
                <c:pt idx="0">
                  <c:v>Total Expence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Expence!$H$2:$H$8</c:f>
              <c:numCache>
                <c:formatCode>General</c:formatCode>
                <c:ptCount val="7"/>
                <c:pt idx="0">
                  <c:v>30265</c:v>
                </c:pt>
                <c:pt idx="1">
                  <c:v>12375</c:v>
                </c:pt>
                <c:pt idx="2">
                  <c:v>16190</c:v>
                </c:pt>
                <c:pt idx="3">
                  <c:v>2500</c:v>
                </c:pt>
                <c:pt idx="4">
                  <c:v>11100</c:v>
                </c:pt>
                <c:pt idx="5">
                  <c:v>5000</c:v>
                </c:pt>
                <c:pt idx="6">
                  <c:v>1320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8-4597-87F3-F2BB8E512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576559"/>
        <c:axId val="746575599"/>
      </c:barChart>
      <c:catAx>
        <c:axId val="746576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75599"/>
        <c:crosses val="autoZero"/>
        <c:auto val="1"/>
        <c:lblAlgn val="ctr"/>
        <c:lblOffset val="100"/>
        <c:noMultiLvlLbl val="0"/>
      </c:catAx>
      <c:valAx>
        <c:axId val="7465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7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2</xdr:row>
      <xdr:rowOff>138112</xdr:rowOff>
    </xdr:from>
    <xdr:to>
      <xdr:col>11</xdr:col>
      <xdr:colOff>952500</xdr:colOff>
      <xdr:row>13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56BD78-4181-6F71-4520-BD46A3A43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219075</xdr:colOff>
      <xdr:row>2</xdr:row>
      <xdr:rowOff>176212</xdr:rowOff>
    </xdr:from>
    <xdr:to>
      <xdr:col>6</xdr:col>
      <xdr:colOff>361950</xdr:colOff>
      <xdr:row>13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A5377B-5A9A-B2CE-BE96-8E7323070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KUMAR" refreshedDate="46025.437946759259" createdVersion="8" refreshedVersion="8" minRefreshableVersion="3" recordCount="22" xr:uid="{B6617040-D868-4C89-8C98-282983D27FE0}">
  <cacheSource type="worksheet">
    <worksheetSource ref="C1:H23" sheet="Expence"/>
  </cacheSource>
  <cacheFields count="6">
    <cacheField name="Expense Detail" numFmtId="0">
      <sharedItems/>
    </cacheField>
    <cacheField name="Amount" numFmtId="0">
      <sharedItems containsSemiMixedTypes="0" containsString="0" containsNumber="1" containsInteger="1" minValue="1000" maxValue="9990"/>
    </cacheField>
    <cacheField name="Payment Method" numFmtId="0">
      <sharedItems count="3">
        <s v="Cash"/>
        <s v="Card"/>
        <s v="UPI"/>
      </sharedItems>
    </cacheField>
    <cacheField name="Budget" numFmtId="0">
      <sharedItems containsString="0" containsBlank="1" containsNumber="1" containsInteger="1" minValue="2000" maxValue="20000" count="6">
        <n v="10000"/>
        <n v="15000"/>
        <n v="20000"/>
        <n v="5000"/>
        <n v="2000"/>
        <m/>
      </sharedItems>
    </cacheField>
    <cacheField name="Category" numFmtId="0">
      <sharedItems containsBlank="1" count="8">
        <s v="Food"/>
        <s v="Travel"/>
        <s v="Entertainment"/>
        <s v="Shopping"/>
        <s v="Education"/>
        <s v="Utilities"/>
        <s v="Health"/>
        <m/>
      </sharedItems>
    </cacheField>
    <cacheField name="Total Expence" numFmtId="0">
      <sharedItems containsString="0" containsBlank="1" containsNumber="1" containsInteger="1" minValue="1320" maxValue="30265" count="8">
        <n v="30265"/>
        <n v="12375"/>
        <n v="16190"/>
        <n v="2500"/>
        <n v="11100"/>
        <n v="5000"/>
        <n v="132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Breakfast"/>
    <n v="5000"/>
    <x v="0"/>
    <x v="0"/>
    <x v="0"/>
    <x v="0"/>
  </r>
  <r>
    <s v="Bus fare"/>
    <n v="2000"/>
    <x v="0"/>
    <x v="1"/>
    <x v="1"/>
    <x v="1"/>
  </r>
  <r>
    <s v="Lunch"/>
    <n v="8000"/>
    <x v="1"/>
    <x v="2"/>
    <x v="2"/>
    <x v="2"/>
  </r>
  <r>
    <s v="Movie ticket"/>
    <n v="1200"/>
    <x v="1"/>
    <x v="3"/>
    <x v="3"/>
    <x v="3"/>
  </r>
  <r>
    <s v="Bags"/>
    <n v="1530"/>
    <x v="1"/>
    <x v="3"/>
    <x v="4"/>
    <x v="4"/>
  </r>
  <r>
    <s v="Snacks"/>
    <n v="3025"/>
    <x v="0"/>
    <x v="4"/>
    <x v="5"/>
    <x v="5"/>
  </r>
  <r>
    <s v="Taxi"/>
    <n v="1000"/>
    <x v="2"/>
    <x v="4"/>
    <x v="6"/>
    <x v="6"/>
  </r>
  <r>
    <s v="Notebook"/>
    <n v="4500"/>
    <x v="0"/>
    <x v="5"/>
    <x v="7"/>
    <x v="7"/>
  </r>
  <r>
    <s v="Mobile recharge"/>
    <n v="2000"/>
    <x v="2"/>
    <x v="5"/>
    <x v="7"/>
    <x v="7"/>
  </r>
  <r>
    <s v="Dinner"/>
    <n v="1140"/>
    <x v="1"/>
    <x v="5"/>
    <x v="7"/>
    <x v="7"/>
  </r>
  <r>
    <s v="Footwear "/>
    <n v="6800"/>
    <x v="0"/>
    <x v="5"/>
    <x v="7"/>
    <x v="7"/>
  </r>
  <r>
    <s v="Online subscription"/>
    <n v="9990"/>
    <x v="1"/>
    <x v="5"/>
    <x v="7"/>
    <x v="7"/>
  </r>
  <r>
    <s v="Train ticket"/>
    <n v="7500"/>
    <x v="2"/>
    <x v="5"/>
    <x v="7"/>
    <x v="7"/>
  </r>
  <r>
    <s v="Medicine"/>
    <n v="1320"/>
    <x v="0"/>
    <x v="5"/>
    <x v="7"/>
    <x v="7"/>
  </r>
  <r>
    <s v="Coffee"/>
    <n v="4000"/>
    <x v="0"/>
    <x v="5"/>
    <x v="7"/>
    <x v="7"/>
  </r>
  <r>
    <s v="Clothes"/>
    <n v="2500"/>
    <x v="1"/>
    <x v="5"/>
    <x v="7"/>
    <x v="7"/>
  </r>
  <r>
    <s v="Stationery"/>
    <n v="6600"/>
    <x v="0"/>
    <x v="5"/>
    <x v="7"/>
    <x v="7"/>
  </r>
  <r>
    <s v="Lunch"/>
    <n v="9100"/>
    <x v="2"/>
    <x v="5"/>
    <x v="7"/>
    <x v="7"/>
  </r>
  <r>
    <s v="Fuel"/>
    <n v="1875"/>
    <x v="1"/>
    <x v="5"/>
    <x v="7"/>
    <x v="7"/>
  </r>
  <r>
    <s v="Game top-up"/>
    <n v="5000"/>
    <x v="2"/>
    <x v="5"/>
    <x v="7"/>
    <x v="7"/>
  </r>
  <r>
    <s v="Chocolates"/>
    <n v="1240"/>
    <x v="0"/>
    <x v="5"/>
    <x v="7"/>
    <x v="7"/>
  </r>
  <r>
    <s v="Internet bill"/>
    <n v="3000"/>
    <x v="1"/>
    <x v="5"/>
    <x v="7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6030F-3484-44C6-B89F-1857633B2DE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9" firstHeaderRow="1" firstDataRow="3" firstDataCol="1" rowPageCount="1" colPageCount="1"/>
  <pivotFields count="6"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axis="axisPage" showAll="0">
      <items count="7">
        <item x="4"/>
        <item x="3"/>
        <item x="0"/>
        <item x="1"/>
        <item x="2"/>
        <item x="5"/>
        <item t="default"/>
      </items>
    </pivotField>
    <pivotField axis="axisCol" showAll="0">
      <items count="9">
        <item x="4"/>
        <item x="2"/>
        <item x="0"/>
        <item x="6"/>
        <item x="3"/>
        <item x="1"/>
        <item x="5"/>
        <item x="7"/>
        <item t="default"/>
      </items>
    </pivotField>
    <pivotField axis="axisCol" showAll="0">
      <items count="9">
        <item x="6"/>
        <item x="3"/>
        <item x="5"/>
        <item x="4"/>
        <item x="1"/>
        <item x="2"/>
        <item x="0"/>
        <item x="7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4"/>
    <field x="5"/>
  </colFields>
  <colItems count="17">
    <i>
      <x/>
      <x v="3"/>
    </i>
    <i t="default">
      <x/>
    </i>
    <i>
      <x v="1"/>
      <x v="5"/>
    </i>
    <i t="default">
      <x v="1"/>
    </i>
    <i>
      <x v="2"/>
      <x v="6"/>
    </i>
    <i t="default">
      <x v="2"/>
    </i>
    <i>
      <x v="3"/>
      <x/>
    </i>
    <i t="default">
      <x v="3"/>
    </i>
    <i>
      <x v="4"/>
      <x v="1"/>
    </i>
    <i t="default">
      <x v="4"/>
    </i>
    <i>
      <x v="5"/>
      <x v="4"/>
    </i>
    <i t="default">
      <x v="5"/>
    </i>
    <i>
      <x v="6"/>
      <x v="2"/>
    </i>
    <i t="default">
      <x v="6"/>
    </i>
    <i>
      <x v="7"/>
      <x v="7"/>
    </i>
    <i t="default">
      <x v="7"/>
    </i>
    <i t="grand">
      <x/>
    </i>
  </colItems>
  <pageFields count="1">
    <pageField fld="3" hier="-1"/>
  </pageField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26FC-634D-4C43-B179-040D0F535263}">
  <dimension ref="A1:R9"/>
  <sheetViews>
    <sheetView tabSelected="1" workbookViewId="0">
      <selection activeCell="A3" sqref="A3"/>
    </sheetView>
  </sheetViews>
  <sheetFormatPr defaultRowHeight="21" x14ac:dyDescent="0.35"/>
  <cols>
    <col min="1" max="1" width="13.26953125" bestFit="1" customWidth="1"/>
    <col min="2" max="2" width="13.6328125" bestFit="1" customWidth="1"/>
    <col min="3" max="3" width="13" bestFit="1" customWidth="1"/>
    <col min="4" max="4" width="14" bestFit="1" customWidth="1"/>
    <col min="5" max="5" width="16.6328125" bestFit="1" customWidth="1"/>
    <col min="6" max="6" width="6.54296875" bestFit="1" customWidth="1"/>
    <col min="7" max="7" width="9.08984375" bestFit="1" customWidth="1"/>
    <col min="8" max="8" width="7.81640625" bestFit="1" customWidth="1"/>
    <col min="9" max="9" width="10.36328125" bestFit="1" customWidth="1"/>
    <col min="10" max="10" width="9.90625" bestFit="1" customWidth="1"/>
    <col min="11" max="11" width="12.453125" bestFit="1" customWidth="1"/>
    <col min="12" max="12" width="7.453125" bestFit="1" customWidth="1"/>
    <col min="13" max="13" width="10" bestFit="1" customWidth="1"/>
    <col min="14" max="14" width="8.7265625" bestFit="1" customWidth="1"/>
    <col min="15" max="15" width="11.26953125" bestFit="1" customWidth="1"/>
    <col min="16" max="16" width="8.1796875" bestFit="1" customWidth="1"/>
    <col min="17" max="17" width="10.7265625" bestFit="1" customWidth="1"/>
    <col min="18" max="18" width="9.90625" bestFit="1" customWidth="1"/>
  </cols>
  <sheetData>
    <row r="1" spans="1:18" x14ac:dyDescent="0.35">
      <c r="A1" s="5" t="s">
        <v>38</v>
      </c>
      <c r="B1" t="s">
        <v>55</v>
      </c>
    </row>
    <row r="3" spans="1:18" x14ac:dyDescent="0.35">
      <c r="A3" s="5" t="s">
        <v>56</v>
      </c>
      <c r="B3" s="5" t="s">
        <v>46</v>
      </c>
    </row>
    <row r="4" spans="1:18" x14ac:dyDescent="0.35">
      <c r="B4" t="s">
        <v>19</v>
      </c>
      <c r="C4" t="s">
        <v>47</v>
      </c>
      <c r="D4" t="s">
        <v>12</v>
      </c>
      <c r="E4" t="s">
        <v>48</v>
      </c>
      <c r="F4" t="s">
        <v>5</v>
      </c>
      <c r="G4" t="s">
        <v>49</v>
      </c>
      <c r="H4" t="s">
        <v>27</v>
      </c>
      <c r="I4" t="s">
        <v>50</v>
      </c>
      <c r="J4" t="s">
        <v>30</v>
      </c>
      <c r="K4" t="s">
        <v>51</v>
      </c>
      <c r="L4" t="s">
        <v>8</v>
      </c>
      <c r="M4" t="s">
        <v>52</v>
      </c>
      <c r="N4" t="s">
        <v>21</v>
      </c>
      <c r="O4" t="s">
        <v>53</v>
      </c>
      <c r="P4" t="s">
        <v>44</v>
      </c>
      <c r="Q4" t="s">
        <v>54</v>
      </c>
      <c r="R4" t="s">
        <v>45</v>
      </c>
    </row>
    <row r="5" spans="1:18" x14ac:dyDescent="0.35">
      <c r="A5" s="5" t="s">
        <v>43</v>
      </c>
      <c r="B5">
        <v>11100</v>
      </c>
      <c r="D5">
        <v>16190</v>
      </c>
      <c r="F5">
        <v>30265</v>
      </c>
      <c r="H5">
        <v>1320</v>
      </c>
      <c r="J5">
        <v>2500</v>
      </c>
      <c r="L5">
        <v>12375</v>
      </c>
      <c r="N5">
        <v>5000</v>
      </c>
      <c r="P5" t="s">
        <v>44</v>
      </c>
    </row>
    <row r="6" spans="1:18" x14ac:dyDescent="0.35">
      <c r="A6" s="6" t="s">
        <v>11</v>
      </c>
      <c r="B6" s="7">
        <v>1530</v>
      </c>
      <c r="C6" s="7">
        <v>1530</v>
      </c>
      <c r="D6" s="7">
        <v>8000</v>
      </c>
      <c r="E6" s="7">
        <v>8000</v>
      </c>
      <c r="F6" s="7"/>
      <c r="G6" s="7"/>
      <c r="H6" s="7"/>
      <c r="I6" s="7"/>
      <c r="J6" s="7">
        <v>1200</v>
      </c>
      <c r="K6" s="7">
        <v>1200</v>
      </c>
      <c r="L6" s="7"/>
      <c r="M6" s="7"/>
      <c r="N6" s="7"/>
      <c r="O6" s="7"/>
      <c r="P6" s="7">
        <v>18505</v>
      </c>
      <c r="Q6" s="7">
        <v>18505</v>
      </c>
      <c r="R6" s="7">
        <v>29235</v>
      </c>
    </row>
    <row r="7" spans="1:18" x14ac:dyDescent="0.35">
      <c r="A7" s="6" t="s">
        <v>7</v>
      </c>
      <c r="B7" s="7"/>
      <c r="C7" s="7"/>
      <c r="D7" s="7"/>
      <c r="E7" s="7"/>
      <c r="F7" s="7">
        <v>5000</v>
      </c>
      <c r="G7" s="7">
        <v>5000</v>
      </c>
      <c r="H7" s="7"/>
      <c r="I7" s="7"/>
      <c r="J7" s="7"/>
      <c r="K7" s="7"/>
      <c r="L7" s="7">
        <v>2000</v>
      </c>
      <c r="M7" s="7">
        <v>2000</v>
      </c>
      <c r="N7" s="7">
        <v>3025</v>
      </c>
      <c r="O7" s="7">
        <v>3025</v>
      </c>
      <c r="P7" s="7">
        <v>24460</v>
      </c>
      <c r="Q7" s="7">
        <v>24460</v>
      </c>
      <c r="R7" s="7">
        <v>34485</v>
      </c>
    </row>
    <row r="8" spans="1:18" x14ac:dyDescent="0.35">
      <c r="A8" s="6" t="s">
        <v>18</v>
      </c>
      <c r="B8" s="7"/>
      <c r="C8" s="7"/>
      <c r="D8" s="7"/>
      <c r="E8" s="7"/>
      <c r="F8" s="7"/>
      <c r="G8" s="7"/>
      <c r="H8" s="7">
        <v>1000</v>
      </c>
      <c r="I8" s="7">
        <v>1000</v>
      </c>
      <c r="J8" s="7"/>
      <c r="K8" s="7"/>
      <c r="L8" s="7"/>
      <c r="M8" s="7"/>
      <c r="N8" s="7"/>
      <c r="O8" s="7"/>
      <c r="P8" s="7">
        <v>23600</v>
      </c>
      <c r="Q8" s="7">
        <v>23600</v>
      </c>
      <c r="R8" s="7">
        <v>24600</v>
      </c>
    </row>
    <row r="9" spans="1:18" x14ac:dyDescent="0.35">
      <c r="A9" s="6" t="s">
        <v>45</v>
      </c>
      <c r="B9" s="7">
        <v>1530</v>
      </c>
      <c r="C9" s="7">
        <v>1530</v>
      </c>
      <c r="D9" s="7">
        <v>8000</v>
      </c>
      <c r="E9" s="7">
        <v>8000</v>
      </c>
      <c r="F9" s="7">
        <v>5000</v>
      </c>
      <c r="G9" s="7">
        <v>5000</v>
      </c>
      <c r="H9" s="7">
        <v>1000</v>
      </c>
      <c r="I9" s="7">
        <v>1000</v>
      </c>
      <c r="J9" s="7">
        <v>1200</v>
      </c>
      <c r="K9" s="7">
        <v>1200</v>
      </c>
      <c r="L9" s="7">
        <v>2000</v>
      </c>
      <c r="M9" s="7">
        <v>2000</v>
      </c>
      <c r="N9" s="7">
        <v>3025</v>
      </c>
      <c r="O9" s="7">
        <v>3025</v>
      </c>
      <c r="P9" s="7">
        <v>66565</v>
      </c>
      <c r="Q9" s="7">
        <v>66565</v>
      </c>
      <c r="R9" s="7">
        <v>88320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opLeftCell="C1" workbookViewId="0">
      <selection activeCell="C1" sqref="C1:H23"/>
    </sheetView>
  </sheetViews>
  <sheetFormatPr defaultColWidth="10.08984375" defaultRowHeight="15" customHeight="1" x14ac:dyDescent="0.35"/>
  <cols>
    <col min="1" max="1" width="9.54296875" bestFit="1" customWidth="1"/>
    <col min="2" max="2" width="12.6328125" customWidth="1"/>
    <col min="3" max="3" width="13.1796875" customWidth="1"/>
    <col min="4" max="4" width="12.1796875" customWidth="1"/>
    <col min="5" max="5" width="16.26953125" bestFit="1" customWidth="1"/>
    <col min="6" max="6" width="8.453125" customWidth="1"/>
    <col min="7" max="7" width="12.54296875" bestFit="1" customWidth="1"/>
    <col min="8" max="8" width="14" bestFit="1" customWidth="1"/>
  </cols>
  <sheetData>
    <row r="1" spans="1:12" ht="20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1</v>
      </c>
      <c r="H1" s="1" t="s">
        <v>37</v>
      </c>
      <c r="I1" s="1" t="s">
        <v>39</v>
      </c>
      <c r="J1" s="1" t="s">
        <v>41</v>
      </c>
      <c r="K1" s="1" t="s">
        <v>40</v>
      </c>
      <c r="L1" s="1" t="s">
        <v>42</v>
      </c>
    </row>
    <row r="2" spans="1:12" ht="20.25" customHeight="1" x14ac:dyDescent="0.35">
      <c r="A2" s="2">
        <v>45658</v>
      </c>
      <c r="B2" s="3" t="s">
        <v>5</v>
      </c>
      <c r="C2" s="3" t="s">
        <v>6</v>
      </c>
      <c r="D2" s="3">
        <v>5000</v>
      </c>
      <c r="E2" s="3" t="s">
        <v>7</v>
      </c>
      <c r="F2">
        <v>10000</v>
      </c>
      <c r="G2" s="3" t="s">
        <v>5</v>
      </c>
      <c r="H2">
        <f>SUMIF(B2:B23,"Food",D2:D23)</f>
        <v>30265</v>
      </c>
      <c r="I2">
        <f>F2-H2</f>
        <v>-20265</v>
      </c>
      <c r="J2">
        <v>1</v>
      </c>
      <c r="K2">
        <v>1</v>
      </c>
      <c r="L2">
        <v>2025</v>
      </c>
    </row>
    <row r="3" spans="1:12" ht="20.25" customHeight="1" x14ac:dyDescent="0.35">
      <c r="A3" s="2">
        <v>45659</v>
      </c>
      <c r="B3" s="3" t="s">
        <v>8</v>
      </c>
      <c r="C3" s="3" t="s">
        <v>9</v>
      </c>
      <c r="D3" s="4">
        <v>2000</v>
      </c>
      <c r="E3" s="3" t="s">
        <v>7</v>
      </c>
      <c r="F3">
        <v>15000</v>
      </c>
      <c r="G3" s="3" t="s">
        <v>8</v>
      </c>
      <c r="H3">
        <f>SUMIF(B2:B23,"Travel",D2:D23)</f>
        <v>12375</v>
      </c>
      <c r="I3">
        <f t="shared" ref="I3:I8" si="0">F3-H3</f>
        <v>2625</v>
      </c>
      <c r="J3">
        <v>1</v>
      </c>
      <c r="K3">
        <v>2</v>
      </c>
      <c r="L3">
        <v>2025</v>
      </c>
    </row>
    <row r="4" spans="1:12" ht="20.25" customHeight="1" x14ac:dyDescent="0.35">
      <c r="A4" s="2">
        <v>45660</v>
      </c>
      <c r="B4" s="3" t="s">
        <v>5</v>
      </c>
      <c r="C4" s="3" t="s">
        <v>10</v>
      </c>
      <c r="D4" s="4">
        <v>8000</v>
      </c>
      <c r="E4" s="3" t="s">
        <v>11</v>
      </c>
      <c r="F4">
        <v>20000</v>
      </c>
      <c r="G4" s="3" t="s">
        <v>12</v>
      </c>
      <c r="H4">
        <f>SUMIF(B2:B23,"Entertainment",D2:D23)</f>
        <v>16190</v>
      </c>
      <c r="I4">
        <f t="shared" si="0"/>
        <v>3810</v>
      </c>
      <c r="J4">
        <v>1</v>
      </c>
      <c r="K4">
        <v>3</v>
      </c>
      <c r="L4">
        <v>2025</v>
      </c>
    </row>
    <row r="5" spans="1:12" ht="20.25" customHeight="1" x14ac:dyDescent="0.35">
      <c r="A5" s="2">
        <v>45661</v>
      </c>
      <c r="B5" s="3" t="s">
        <v>12</v>
      </c>
      <c r="C5" s="3" t="s">
        <v>13</v>
      </c>
      <c r="D5" s="4">
        <v>1200</v>
      </c>
      <c r="E5" s="3" t="s">
        <v>11</v>
      </c>
      <c r="F5">
        <v>5000</v>
      </c>
      <c r="G5" s="3" t="s">
        <v>30</v>
      </c>
      <c r="H5">
        <f>SUMIF(B2:B23,"Shopping",D2:D23)</f>
        <v>2500</v>
      </c>
      <c r="I5">
        <f t="shared" si="0"/>
        <v>2500</v>
      </c>
      <c r="J5">
        <v>1</v>
      </c>
      <c r="K5">
        <v>4</v>
      </c>
      <c r="L5">
        <v>2025</v>
      </c>
    </row>
    <row r="6" spans="1:12" ht="20.25" customHeight="1" x14ac:dyDescent="0.35">
      <c r="A6" s="2">
        <v>45662</v>
      </c>
      <c r="B6" s="3" t="s">
        <v>14</v>
      </c>
      <c r="C6" s="3" t="s">
        <v>15</v>
      </c>
      <c r="D6" s="4">
        <v>1530</v>
      </c>
      <c r="E6" s="3" t="s">
        <v>11</v>
      </c>
      <c r="F6">
        <v>5000</v>
      </c>
      <c r="G6" s="3" t="s">
        <v>19</v>
      </c>
      <c r="H6">
        <f>SUMIF(B2:B23,"Education",D2:D23)</f>
        <v>11100</v>
      </c>
      <c r="I6">
        <f t="shared" si="0"/>
        <v>-6100</v>
      </c>
      <c r="J6">
        <v>1</v>
      </c>
      <c r="K6">
        <v>5</v>
      </c>
      <c r="L6">
        <v>2025</v>
      </c>
    </row>
    <row r="7" spans="1:12" ht="20.25" customHeight="1" x14ac:dyDescent="0.35">
      <c r="A7" s="2">
        <v>45663</v>
      </c>
      <c r="B7" s="3" t="s">
        <v>5</v>
      </c>
      <c r="C7" s="3" t="s">
        <v>16</v>
      </c>
      <c r="D7" s="4">
        <v>3025</v>
      </c>
      <c r="E7" s="3" t="s">
        <v>7</v>
      </c>
      <c r="F7">
        <v>2000</v>
      </c>
      <c r="G7" s="3" t="s">
        <v>21</v>
      </c>
      <c r="H7">
        <f>SUMIF(B2:B23,"Utilities",D2:D23)</f>
        <v>5000</v>
      </c>
      <c r="I7">
        <f t="shared" si="0"/>
        <v>-3000</v>
      </c>
      <c r="J7">
        <v>1</v>
      </c>
      <c r="K7">
        <v>6</v>
      </c>
      <c r="L7">
        <v>2025</v>
      </c>
    </row>
    <row r="8" spans="1:12" ht="20.25" customHeight="1" x14ac:dyDescent="0.35">
      <c r="A8" s="2">
        <v>45664</v>
      </c>
      <c r="B8" s="3" t="s">
        <v>8</v>
      </c>
      <c r="C8" s="3" t="s">
        <v>17</v>
      </c>
      <c r="D8" s="4">
        <v>1000</v>
      </c>
      <c r="E8" s="3" t="s">
        <v>18</v>
      </c>
      <c r="F8">
        <v>2000</v>
      </c>
      <c r="G8" s="3" t="s">
        <v>27</v>
      </c>
      <c r="H8">
        <f>SUMIF(B2:B23,"Health",D2:D23)</f>
        <v>1320</v>
      </c>
      <c r="I8">
        <f t="shared" si="0"/>
        <v>680</v>
      </c>
      <c r="J8">
        <v>1</v>
      </c>
      <c r="K8">
        <v>7</v>
      </c>
      <c r="L8">
        <v>2025</v>
      </c>
    </row>
    <row r="9" spans="1:12" ht="20.25" customHeight="1" x14ac:dyDescent="0.35">
      <c r="A9" s="2">
        <v>45665</v>
      </c>
      <c r="B9" s="3" t="s">
        <v>19</v>
      </c>
      <c r="C9" s="3" t="s">
        <v>20</v>
      </c>
      <c r="D9" s="4">
        <v>4500</v>
      </c>
      <c r="E9" s="3" t="s">
        <v>7</v>
      </c>
      <c r="J9">
        <v>1</v>
      </c>
      <c r="K9">
        <v>8</v>
      </c>
      <c r="L9">
        <v>2025</v>
      </c>
    </row>
    <row r="10" spans="1:12" ht="20.25" customHeight="1" x14ac:dyDescent="0.35">
      <c r="A10" s="2">
        <v>45666</v>
      </c>
      <c r="B10" s="3" t="s">
        <v>21</v>
      </c>
      <c r="C10" s="3" t="s">
        <v>22</v>
      </c>
      <c r="D10" s="4">
        <v>2000</v>
      </c>
      <c r="E10" s="3" t="s">
        <v>18</v>
      </c>
      <c r="J10">
        <v>1</v>
      </c>
      <c r="K10">
        <v>9</v>
      </c>
      <c r="L10">
        <v>2025</v>
      </c>
    </row>
    <row r="11" spans="1:12" ht="20.25" customHeight="1" x14ac:dyDescent="0.35">
      <c r="A11" s="2">
        <v>45667</v>
      </c>
      <c r="B11" s="3" t="s">
        <v>5</v>
      </c>
      <c r="C11" s="3" t="s">
        <v>23</v>
      </c>
      <c r="D11" s="4">
        <v>1140</v>
      </c>
      <c r="E11" s="3" t="s">
        <v>11</v>
      </c>
      <c r="J11">
        <v>1</v>
      </c>
      <c r="K11">
        <v>10</v>
      </c>
      <c r="L11">
        <v>2025</v>
      </c>
    </row>
    <row r="12" spans="1:12" ht="20.25" customHeight="1" x14ac:dyDescent="0.35">
      <c r="A12" s="2">
        <v>45668</v>
      </c>
      <c r="B12" s="3" t="s">
        <v>14</v>
      </c>
      <c r="C12" s="3" t="s">
        <v>24</v>
      </c>
      <c r="D12" s="4">
        <v>6800</v>
      </c>
      <c r="E12" s="3" t="s">
        <v>7</v>
      </c>
      <c r="J12">
        <v>1</v>
      </c>
      <c r="K12">
        <v>11</v>
      </c>
      <c r="L12">
        <v>2025</v>
      </c>
    </row>
    <row r="13" spans="1:12" ht="20.25" customHeight="1" x14ac:dyDescent="0.35">
      <c r="A13" s="2">
        <v>45669</v>
      </c>
      <c r="B13" s="3" t="s">
        <v>12</v>
      </c>
      <c r="C13" s="3" t="s">
        <v>25</v>
      </c>
      <c r="D13" s="4">
        <v>9990</v>
      </c>
      <c r="E13" s="3" t="s">
        <v>11</v>
      </c>
      <c r="J13">
        <v>1</v>
      </c>
      <c r="K13">
        <v>12</v>
      </c>
      <c r="L13">
        <v>2025</v>
      </c>
    </row>
    <row r="14" spans="1:12" ht="20.25" customHeight="1" x14ac:dyDescent="0.35">
      <c r="A14" s="2">
        <v>45670</v>
      </c>
      <c r="B14" s="3" t="s">
        <v>8</v>
      </c>
      <c r="C14" s="3" t="s">
        <v>26</v>
      </c>
      <c r="D14" s="4">
        <v>7500</v>
      </c>
      <c r="E14" s="3" t="s">
        <v>18</v>
      </c>
      <c r="J14">
        <v>1</v>
      </c>
      <c r="K14">
        <v>13</v>
      </c>
      <c r="L14">
        <v>2025</v>
      </c>
    </row>
    <row r="15" spans="1:12" ht="20.25" customHeight="1" x14ac:dyDescent="0.35">
      <c r="A15" s="2">
        <v>45671</v>
      </c>
      <c r="B15" s="3" t="s">
        <v>27</v>
      </c>
      <c r="C15" s="3" t="s">
        <v>28</v>
      </c>
      <c r="D15" s="4">
        <v>1320</v>
      </c>
      <c r="E15" s="3" t="s">
        <v>7</v>
      </c>
      <c r="J15">
        <v>1</v>
      </c>
      <c r="K15">
        <v>14</v>
      </c>
      <c r="L15">
        <v>2025</v>
      </c>
    </row>
    <row r="16" spans="1:12" ht="20.25" customHeight="1" x14ac:dyDescent="0.35">
      <c r="A16" s="2">
        <v>45672</v>
      </c>
      <c r="B16" s="3" t="s">
        <v>5</v>
      </c>
      <c r="C16" s="3" t="s">
        <v>29</v>
      </c>
      <c r="D16" s="4">
        <v>4000</v>
      </c>
      <c r="E16" s="3" t="s">
        <v>7</v>
      </c>
      <c r="J16">
        <v>1</v>
      </c>
      <c r="K16">
        <v>15</v>
      </c>
      <c r="L16">
        <v>2025</v>
      </c>
    </row>
    <row r="17" spans="1:12" ht="20.25" customHeight="1" x14ac:dyDescent="0.35">
      <c r="A17" s="2">
        <v>45673</v>
      </c>
      <c r="B17" s="3" t="s">
        <v>30</v>
      </c>
      <c r="C17" s="3" t="s">
        <v>31</v>
      </c>
      <c r="D17" s="4">
        <v>2500</v>
      </c>
      <c r="E17" s="3" t="s">
        <v>11</v>
      </c>
      <c r="J17">
        <v>1</v>
      </c>
      <c r="K17">
        <v>16</v>
      </c>
      <c r="L17">
        <v>2025</v>
      </c>
    </row>
    <row r="18" spans="1:12" ht="20.25" customHeight="1" x14ac:dyDescent="0.35">
      <c r="A18" s="2">
        <v>45674</v>
      </c>
      <c r="B18" s="3" t="s">
        <v>19</v>
      </c>
      <c r="C18" s="3" t="s">
        <v>32</v>
      </c>
      <c r="D18" s="4">
        <v>6600</v>
      </c>
      <c r="E18" s="3" t="s">
        <v>7</v>
      </c>
      <c r="J18">
        <v>1</v>
      </c>
      <c r="K18">
        <v>17</v>
      </c>
      <c r="L18">
        <v>2025</v>
      </c>
    </row>
    <row r="19" spans="1:12" ht="20.25" customHeight="1" x14ac:dyDescent="0.35">
      <c r="A19" s="2">
        <v>45675</v>
      </c>
      <c r="B19" s="3" t="s">
        <v>5</v>
      </c>
      <c r="C19" s="3" t="s">
        <v>10</v>
      </c>
      <c r="D19" s="4">
        <v>9100</v>
      </c>
      <c r="E19" s="3" t="s">
        <v>18</v>
      </c>
      <c r="J19">
        <v>1</v>
      </c>
      <c r="K19">
        <v>18</v>
      </c>
      <c r="L19">
        <v>2025</v>
      </c>
    </row>
    <row r="20" spans="1:12" ht="20.25" customHeight="1" x14ac:dyDescent="0.35">
      <c r="A20" s="2">
        <v>45676</v>
      </c>
      <c r="B20" s="3" t="s">
        <v>8</v>
      </c>
      <c r="C20" s="3" t="s">
        <v>33</v>
      </c>
      <c r="D20" s="4">
        <v>1875</v>
      </c>
      <c r="E20" s="3" t="s">
        <v>11</v>
      </c>
      <c r="J20">
        <v>1</v>
      </c>
      <c r="K20">
        <v>19</v>
      </c>
      <c r="L20">
        <v>2025</v>
      </c>
    </row>
    <row r="21" spans="1:12" ht="20.25" customHeight="1" x14ac:dyDescent="0.35">
      <c r="A21" s="2">
        <v>45677</v>
      </c>
      <c r="B21" s="3" t="s">
        <v>12</v>
      </c>
      <c r="C21" s="3" t="s">
        <v>34</v>
      </c>
      <c r="D21" s="4">
        <v>5000</v>
      </c>
      <c r="E21" s="3" t="s">
        <v>18</v>
      </c>
      <c r="J21">
        <v>1</v>
      </c>
      <c r="K21">
        <v>20</v>
      </c>
      <c r="L21">
        <v>2025</v>
      </c>
    </row>
    <row r="22" spans="1:12" ht="20.25" customHeight="1" x14ac:dyDescent="0.35">
      <c r="A22" s="2">
        <v>45678</v>
      </c>
      <c r="B22" s="3" t="s">
        <v>14</v>
      </c>
      <c r="C22" s="3" t="s">
        <v>35</v>
      </c>
      <c r="D22" s="4">
        <v>1240</v>
      </c>
      <c r="E22" s="3" t="s">
        <v>7</v>
      </c>
      <c r="J22">
        <v>1</v>
      </c>
      <c r="K22">
        <v>21</v>
      </c>
      <c r="L22">
        <v>2025</v>
      </c>
    </row>
    <row r="23" spans="1:12" ht="20.25" customHeight="1" x14ac:dyDescent="0.35">
      <c r="A23" s="2">
        <v>45679</v>
      </c>
      <c r="B23" s="3" t="s">
        <v>21</v>
      </c>
      <c r="C23" s="3" t="s">
        <v>36</v>
      </c>
      <c r="D23" s="4">
        <v>3000</v>
      </c>
      <c r="E23" s="3" t="s">
        <v>11</v>
      </c>
      <c r="J23">
        <v>1</v>
      </c>
      <c r="K23">
        <v>22</v>
      </c>
      <c r="L23">
        <v>2025</v>
      </c>
    </row>
    <row r="24" spans="1:12" ht="20.25" customHeight="1" x14ac:dyDescent="0.35"/>
    <row r="25" spans="1:12" ht="20.25" customHeight="1" x14ac:dyDescent="0.35"/>
    <row r="26" spans="1:12" ht="20.25" customHeight="1" x14ac:dyDescent="0.35"/>
    <row r="27" spans="1:12" ht="20.25" customHeight="1" x14ac:dyDescent="0.35"/>
    <row r="28" spans="1:12" ht="20.25" customHeight="1" x14ac:dyDescent="0.35"/>
    <row r="29" spans="1:12" ht="20.25" customHeight="1" x14ac:dyDescent="0.35"/>
    <row r="30" spans="1:12" ht="20.25" customHeight="1" x14ac:dyDescent="0.35"/>
    <row r="31" spans="1:12" ht="20.25" customHeight="1" x14ac:dyDescent="0.35"/>
    <row r="32" spans="1:12" ht="20.25" customHeight="1" x14ac:dyDescent="0.35"/>
    <row r="33" ht="20.25" customHeight="1" x14ac:dyDescent="0.35"/>
    <row r="34" ht="20.25" customHeight="1" x14ac:dyDescent="0.35"/>
    <row r="35" ht="20.25" customHeight="1" x14ac:dyDescent="0.35"/>
    <row r="36" ht="20.25" customHeight="1" x14ac:dyDescent="0.35"/>
    <row r="37" ht="20.25" customHeight="1" x14ac:dyDescent="0.35"/>
    <row r="38" ht="20.25" customHeight="1" x14ac:dyDescent="0.35"/>
    <row r="39" ht="20.25" customHeight="1" x14ac:dyDescent="0.35"/>
    <row r="40" ht="20.25" customHeight="1" x14ac:dyDescent="0.35"/>
    <row r="41" ht="20.25" customHeight="1" x14ac:dyDescent="0.35"/>
    <row r="42" ht="20.25" customHeight="1" x14ac:dyDescent="0.35"/>
    <row r="43" ht="20.25" customHeight="1" x14ac:dyDescent="0.35"/>
    <row r="44" ht="20.25" customHeight="1" x14ac:dyDescent="0.35"/>
    <row r="45" ht="20.25" customHeight="1" x14ac:dyDescent="0.35"/>
    <row r="46" ht="20.25" customHeight="1" x14ac:dyDescent="0.35"/>
    <row r="47" ht="20.25" customHeight="1" x14ac:dyDescent="0.35"/>
    <row r="48" ht="20.25" customHeight="1" x14ac:dyDescent="0.35"/>
    <row r="49" ht="20.25" customHeight="1" x14ac:dyDescent="0.35"/>
    <row r="50" ht="20.25" customHeight="1" x14ac:dyDescent="0.35"/>
    <row r="51" ht="20.25" customHeight="1" x14ac:dyDescent="0.35"/>
    <row r="52" ht="20.25" customHeight="1" x14ac:dyDescent="0.35"/>
    <row r="53" ht="20.25" customHeight="1" x14ac:dyDescent="0.35"/>
    <row r="54" ht="20.25" customHeight="1" x14ac:dyDescent="0.35"/>
    <row r="55" ht="20.25" customHeight="1" x14ac:dyDescent="0.35"/>
    <row r="56" ht="20.25" customHeight="1" x14ac:dyDescent="0.35"/>
    <row r="57" ht="20.25" customHeight="1" x14ac:dyDescent="0.35"/>
    <row r="58" ht="20.25" customHeight="1" x14ac:dyDescent="0.35"/>
    <row r="59" ht="20.25" customHeight="1" x14ac:dyDescent="0.35"/>
    <row r="60" ht="20.25" customHeight="1" x14ac:dyDescent="0.35"/>
    <row r="61" ht="20.25" customHeight="1" x14ac:dyDescent="0.35"/>
    <row r="62" ht="20.25" customHeight="1" x14ac:dyDescent="0.35"/>
    <row r="63" ht="20.25" customHeight="1" x14ac:dyDescent="0.35"/>
    <row r="64" ht="20.25" customHeight="1" x14ac:dyDescent="0.35"/>
    <row r="65" ht="20.25" customHeight="1" x14ac:dyDescent="0.35"/>
    <row r="66" ht="20.25" customHeight="1" x14ac:dyDescent="0.35"/>
    <row r="67" ht="20.25" customHeight="1" x14ac:dyDescent="0.35"/>
    <row r="68" ht="20.25" customHeight="1" x14ac:dyDescent="0.35"/>
    <row r="69" ht="20.25" customHeight="1" x14ac:dyDescent="0.35"/>
    <row r="70" ht="20.25" customHeight="1" x14ac:dyDescent="0.35"/>
    <row r="71" ht="20.25" customHeight="1" x14ac:dyDescent="0.35"/>
    <row r="72" ht="20.25" customHeight="1" x14ac:dyDescent="0.35"/>
    <row r="73" ht="20.25" customHeight="1" x14ac:dyDescent="0.35"/>
    <row r="74" ht="20.25" customHeight="1" x14ac:dyDescent="0.35"/>
    <row r="75" ht="20.25" customHeight="1" x14ac:dyDescent="0.35"/>
    <row r="76" ht="20.25" customHeight="1" x14ac:dyDescent="0.35"/>
    <row r="77" ht="20.25" customHeight="1" x14ac:dyDescent="0.35"/>
    <row r="78" ht="20.25" customHeight="1" x14ac:dyDescent="0.35"/>
    <row r="79" ht="20.25" customHeight="1" x14ac:dyDescent="0.35"/>
    <row r="80" ht="20.25" customHeight="1" x14ac:dyDescent="0.35"/>
    <row r="81" ht="20.25" customHeight="1" x14ac:dyDescent="0.35"/>
    <row r="82" ht="20.25" customHeight="1" x14ac:dyDescent="0.35"/>
    <row r="83" ht="20.25" customHeight="1" x14ac:dyDescent="0.35"/>
    <row r="84" ht="20.25" customHeight="1" x14ac:dyDescent="0.35"/>
    <row r="85" ht="20.25" customHeight="1" x14ac:dyDescent="0.35"/>
    <row r="86" ht="20.25" customHeight="1" x14ac:dyDescent="0.35"/>
    <row r="87" ht="20.25" customHeight="1" x14ac:dyDescent="0.35"/>
    <row r="88" ht="20.25" customHeight="1" x14ac:dyDescent="0.35"/>
    <row r="89" ht="20.25" customHeight="1" x14ac:dyDescent="0.35"/>
    <row r="90" ht="20.25" customHeight="1" x14ac:dyDescent="0.35"/>
    <row r="91" ht="20.25" customHeight="1" x14ac:dyDescent="0.35"/>
    <row r="92" ht="20.25" customHeight="1" x14ac:dyDescent="0.35"/>
    <row r="93" ht="20.25" customHeight="1" x14ac:dyDescent="0.35"/>
    <row r="94" ht="20.25" customHeight="1" x14ac:dyDescent="0.35"/>
    <row r="95" ht="20.25" customHeight="1" x14ac:dyDescent="0.35"/>
    <row r="96" ht="20.25" customHeight="1" x14ac:dyDescent="0.35"/>
    <row r="97" ht="20.25" customHeight="1" x14ac:dyDescent="0.35"/>
    <row r="98" ht="20.25" customHeight="1" x14ac:dyDescent="0.35"/>
    <row r="99" ht="20.25" customHeight="1" x14ac:dyDescent="0.35"/>
    <row r="100" ht="20.25" customHeight="1" x14ac:dyDescent="0.35"/>
  </sheetData>
  <conditionalFormatting sqref="H2:H8">
    <cfRule type="cellIs" dxfId="0" priority="1" operator="greaterThan">
      <formula>2000</formula>
    </cfRule>
  </conditionalFormatting>
  <dataValidations count="1">
    <dataValidation type="list" allowBlank="1" showInputMessage="1" showErrorMessage="1" prompt="Enter a value from the list of items" sqref="B1:B1048576" xr:uid="{3A4A6CE8-A6C9-447B-8F12-4E06CE0A9708}">
      <formula1>"Food,transport,entertainment,groceries,health,utilities,shopping"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"/>
  <sheetViews>
    <sheetView workbookViewId="0">
      <selection activeCell="B10" sqref="B10"/>
    </sheetView>
  </sheetViews>
  <sheetFormatPr defaultColWidth="10.08984375" defaultRowHeight="15" customHeight="1" x14ac:dyDescent="0.35"/>
  <cols>
    <col min="1" max="1" width="10.1796875" bestFit="1" customWidth="1"/>
    <col min="2" max="6" width="8.453125" customWidth="1"/>
  </cols>
  <sheetData>
    <row r="1" spans="1:1" ht="20.25" customHeight="1" x14ac:dyDescent="0.35">
      <c r="A1" s="1" t="s">
        <v>39</v>
      </c>
    </row>
    <row r="2" spans="1:1" ht="20.25" customHeight="1" x14ac:dyDescent="0.35">
      <c r="A2">
        <f>Expence!F2-Expence!H2</f>
        <v>-20265</v>
      </c>
    </row>
    <row r="3" spans="1:1" ht="20.25" customHeight="1" x14ac:dyDescent="0.35">
      <c r="A3">
        <f>Expence!F3-Expence!H3</f>
        <v>2625</v>
      </c>
    </row>
    <row r="4" spans="1:1" ht="20.25" customHeight="1" x14ac:dyDescent="0.35">
      <c r="A4">
        <f>Expence!F4-Expence!H4</f>
        <v>3810</v>
      </c>
    </row>
    <row r="5" spans="1:1" ht="20.25" customHeight="1" x14ac:dyDescent="0.35">
      <c r="A5">
        <f>Expence!F5-Expence!H5</f>
        <v>2500</v>
      </c>
    </row>
    <row r="6" spans="1:1" ht="20.25" customHeight="1" x14ac:dyDescent="0.35">
      <c r="A6">
        <f>Expence!F6-Expence!H6</f>
        <v>-6100</v>
      </c>
    </row>
    <row r="7" spans="1:1" ht="20.25" customHeight="1" x14ac:dyDescent="0.35">
      <c r="A7">
        <f>Expence!F7-Expence!H7</f>
        <v>-3000</v>
      </c>
    </row>
    <row r="8" spans="1:1" ht="20.25" customHeight="1" x14ac:dyDescent="0.35">
      <c r="A8">
        <f>Expence!F8-Expence!H8</f>
        <v>680</v>
      </c>
    </row>
    <row r="9" spans="1:1" ht="20.25" customHeight="1" x14ac:dyDescent="0.35"/>
    <row r="10" spans="1:1" ht="20.25" customHeight="1" x14ac:dyDescent="0.35"/>
    <row r="11" spans="1:1" ht="20.25" customHeight="1" x14ac:dyDescent="0.35"/>
    <row r="12" spans="1:1" ht="20.25" customHeight="1" x14ac:dyDescent="0.35"/>
    <row r="13" spans="1:1" ht="20.25" customHeight="1" x14ac:dyDescent="0.35"/>
    <row r="14" spans="1:1" ht="20.25" customHeight="1" x14ac:dyDescent="0.35"/>
    <row r="15" spans="1:1" ht="20.25" customHeight="1" x14ac:dyDescent="0.35"/>
    <row r="16" spans="1:1" ht="20.25" customHeight="1" x14ac:dyDescent="0.35"/>
    <row r="17" ht="20.25" customHeight="1" x14ac:dyDescent="0.35"/>
    <row r="18" ht="20.25" customHeight="1" x14ac:dyDescent="0.35"/>
    <row r="19" ht="20.25" customHeight="1" x14ac:dyDescent="0.35"/>
    <row r="20" ht="20.25" customHeight="1" x14ac:dyDescent="0.35"/>
    <row r="21" ht="20.25" customHeight="1" x14ac:dyDescent="0.35"/>
    <row r="22" ht="20.25" customHeight="1" x14ac:dyDescent="0.35"/>
    <row r="23" ht="20.25" customHeight="1" x14ac:dyDescent="0.35"/>
    <row r="24" ht="20.25" customHeight="1" x14ac:dyDescent="0.35"/>
    <row r="25" ht="20.25" customHeight="1" x14ac:dyDescent="0.35"/>
    <row r="26" ht="20.25" customHeight="1" x14ac:dyDescent="0.35"/>
    <row r="27" ht="20.25" customHeight="1" x14ac:dyDescent="0.35"/>
    <row r="28" ht="20.25" customHeight="1" x14ac:dyDescent="0.35"/>
    <row r="29" ht="20.25" customHeight="1" x14ac:dyDescent="0.35"/>
    <row r="30" ht="20.25" customHeight="1" x14ac:dyDescent="0.35"/>
    <row r="31" ht="20.25" customHeight="1" x14ac:dyDescent="0.35"/>
    <row r="32" ht="20.25" customHeight="1" x14ac:dyDescent="0.35"/>
    <row r="33" ht="20.25" customHeight="1" x14ac:dyDescent="0.35"/>
    <row r="34" ht="20.25" customHeight="1" x14ac:dyDescent="0.35"/>
    <row r="35" ht="20.25" customHeight="1" x14ac:dyDescent="0.35"/>
    <row r="36" ht="20.25" customHeight="1" x14ac:dyDescent="0.35"/>
    <row r="37" ht="20.25" customHeight="1" x14ac:dyDescent="0.35"/>
    <row r="38" ht="20.25" customHeight="1" x14ac:dyDescent="0.35"/>
    <row r="39" ht="20.25" customHeight="1" x14ac:dyDescent="0.35"/>
    <row r="40" ht="20.25" customHeight="1" x14ac:dyDescent="0.35"/>
    <row r="41" ht="20.25" customHeight="1" x14ac:dyDescent="0.35"/>
    <row r="42" ht="20.25" customHeight="1" x14ac:dyDescent="0.35"/>
    <row r="43" ht="20.25" customHeight="1" x14ac:dyDescent="0.35"/>
    <row r="44" ht="20.25" customHeight="1" x14ac:dyDescent="0.35"/>
    <row r="45" ht="20.25" customHeight="1" x14ac:dyDescent="0.35"/>
    <row r="46" ht="20.25" customHeight="1" x14ac:dyDescent="0.35"/>
    <row r="47" ht="20.25" customHeight="1" x14ac:dyDescent="0.35"/>
    <row r="48" ht="20.25" customHeight="1" x14ac:dyDescent="0.35"/>
    <row r="49" ht="20.25" customHeight="1" x14ac:dyDescent="0.35"/>
    <row r="50" ht="20.25" customHeight="1" x14ac:dyDescent="0.35"/>
    <row r="51" ht="20.25" customHeight="1" x14ac:dyDescent="0.35"/>
    <row r="52" ht="20.25" customHeight="1" x14ac:dyDescent="0.35"/>
    <row r="53" ht="20.25" customHeight="1" x14ac:dyDescent="0.35"/>
    <row r="54" ht="20.25" customHeight="1" x14ac:dyDescent="0.35"/>
    <row r="55" ht="20.25" customHeight="1" x14ac:dyDescent="0.35"/>
    <row r="56" ht="20.25" customHeight="1" x14ac:dyDescent="0.35"/>
    <row r="57" ht="20.25" customHeight="1" x14ac:dyDescent="0.35"/>
    <row r="58" ht="20.25" customHeight="1" x14ac:dyDescent="0.35"/>
    <row r="59" ht="20.25" customHeight="1" x14ac:dyDescent="0.35"/>
    <row r="60" ht="20.25" customHeight="1" x14ac:dyDescent="0.35"/>
    <row r="61" ht="20.25" customHeight="1" x14ac:dyDescent="0.35"/>
    <row r="62" ht="20.25" customHeight="1" x14ac:dyDescent="0.35"/>
    <row r="63" ht="20.25" customHeight="1" x14ac:dyDescent="0.35"/>
    <row r="64" ht="20.25" customHeight="1" x14ac:dyDescent="0.35"/>
    <row r="65" ht="20.25" customHeight="1" x14ac:dyDescent="0.35"/>
    <row r="66" ht="20.25" customHeight="1" x14ac:dyDescent="0.35"/>
    <row r="67" ht="20.25" customHeight="1" x14ac:dyDescent="0.35"/>
    <row r="68" ht="20.25" customHeight="1" x14ac:dyDescent="0.35"/>
    <row r="69" ht="20.25" customHeight="1" x14ac:dyDescent="0.35"/>
    <row r="70" ht="20.25" customHeight="1" x14ac:dyDescent="0.35"/>
    <row r="71" ht="20.25" customHeight="1" x14ac:dyDescent="0.35"/>
    <row r="72" ht="20.25" customHeight="1" x14ac:dyDescent="0.35"/>
    <row r="73" ht="20.25" customHeight="1" x14ac:dyDescent="0.35"/>
    <row r="74" ht="20.25" customHeight="1" x14ac:dyDescent="0.35"/>
    <row r="75" ht="20.25" customHeight="1" x14ac:dyDescent="0.35"/>
    <row r="76" ht="20.25" customHeight="1" x14ac:dyDescent="0.35"/>
    <row r="77" ht="20.25" customHeight="1" x14ac:dyDescent="0.35"/>
    <row r="78" ht="20.25" customHeight="1" x14ac:dyDescent="0.35"/>
    <row r="79" ht="20.25" customHeight="1" x14ac:dyDescent="0.35"/>
    <row r="80" ht="20.25" customHeight="1" x14ac:dyDescent="0.35"/>
    <row r="81" ht="20.25" customHeight="1" x14ac:dyDescent="0.35"/>
    <row r="82" ht="20.25" customHeight="1" x14ac:dyDescent="0.35"/>
    <row r="83" ht="20.25" customHeight="1" x14ac:dyDescent="0.35"/>
    <row r="84" ht="20.25" customHeight="1" x14ac:dyDescent="0.35"/>
    <row r="85" ht="20.25" customHeight="1" x14ac:dyDescent="0.35"/>
    <row r="86" ht="20.25" customHeight="1" x14ac:dyDescent="0.35"/>
    <row r="87" ht="20.25" customHeight="1" x14ac:dyDescent="0.35"/>
    <row r="88" ht="20.25" customHeight="1" x14ac:dyDescent="0.35"/>
    <row r="89" ht="20.25" customHeight="1" x14ac:dyDescent="0.35"/>
    <row r="90" ht="20.25" customHeight="1" x14ac:dyDescent="0.35"/>
    <row r="91" ht="20.25" customHeight="1" x14ac:dyDescent="0.35"/>
    <row r="92" ht="20.25" customHeight="1" x14ac:dyDescent="0.35"/>
    <row r="93" ht="20.25" customHeight="1" x14ac:dyDescent="0.35"/>
    <row r="94" ht="20.25" customHeight="1" x14ac:dyDescent="0.35"/>
    <row r="95" ht="20.25" customHeight="1" x14ac:dyDescent="0.35"/>
    <row r="96" ht="20.25" customHeight="1" x14ac:dyDescent="0.35"/>
    <row r="97" ht="20.25" customHeight="1" x14ac:dyDescent="0.35"/>
    <row r="98" ht="20.25" customHeight="1" x14ac:dyDescent="0.35"/>
    <row r="99" ht="20.25" customHeight="1" x14ac:dyDescent="0.35"/>
    <row r="100" ht="20.2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"/>
  <sheetViews>
    <sheetView workbookViewId="0">
      <selection activeCell="H8" sqref="H8"/>
    </sheetView>
  </sheetViews>
  <sheetFormatPr defaultColWidth="10.08984375" defaultRowHeight="15" customHeight="1" x14ac:dyDescent="0.35"/>
  <cols>
    <col min="1" max="6" width="8.453125" customWidth="1"/>
  </cols>
  <sheetData>
    <row r="1" ht="20.25" customHeight="1" x14ac:dyDescent="0.35"/>
    <row r="2" ht="20.25" customHeight="1" x14ac:dyDescent="0.35"/>
    <row r="3" ht="20.25" customHeight="1" x14ac:dyDescent="0.35"/>
    <row r="4" ht="20.25" customHeight="1" x14ac:dyDescent="0.35"/>
    <row r="5" ht="20.25" customHeight="1" x14ac:dyDescent="0.35"/>
    <row r="6" ht="20.25" customHeight="1" x14ac:dyDescent="0.35"/>
    <row r="7" ht="20.25" customHeight="1" x14ac:dyDescent="0.35"/>
    <row r="8" ht="20.25" customHeight="1" x14ac:dyDescent="0.35"/>
    <row r="9" ht="20.25" customHeight="1" x14ac:dyDescent="0.35"/>
    <row r="10" ht="20.25" customHeight="1" x14ac:dyDescent="0.35"/>
    <row r="11" ht="20.25" customHeight="1" x14ac:dyDescent="0.35"/>
    <row r="12" ht="20.25" customHeight="1" x14ac:dyDescent="0.35"/>
    <row r="13" ht="20.25" customHeight="1" x14ac:dyDescent="0.35"/>
    <row r="14" ht="20.25" customHeight="1" x14ac:dyDescent="0.35"/>
    <row r="15" ht="20.25" customHeight="1" x14ac:dyDescent="0.35"/>
    <row r="16" ht="20.25" customHeight="1" x14ac:dyDescent="0.35"/>
    <row r="17" ht="20.25" customHeight="1" x14ac:dyDescent="0.35"/>
    <row r="18" ht="20.25" customHeight="1" x14ac:dyDescent="0.35"/>
    <row r="19" ht="20.25" customHeight="1" x14ac:dyDescent="0.35"/>
    <row r="20" ht="20.25" customHeight="1" x14ac:dyDescent="0.35"/>
    <row r="21" ht="20.25" customHeight="1" x14ac:dyDescent="0.35"/>
    <row r="22" ht="20.25" customHeight="1" x14ac:dyDescent="0.35"/>
    <row r="23" ht="20.25" customHeight="1" x14ac:dyDescent="0.35"/>
    <row r="24" ht="20.25" customHeight="1" x14ac:dyDescent="0.35"/>
    <row r="25" ht="20.25" customHeight="1" x14ac:dyDescent="0.35"/>
    <row r="26" ht="20.25" customHeight="1" x14ac:dyDescent="0.35"/>
    <row r="27" ht="20.25" customHeight="1" x14ac:dyDescent="0.35"/>
    <row r="28" ht="20.25" customHeight="1" x14ac:dyDescent="0.35"/>
    <row r="29" ht="20.25" customHeight="1" x14ac:dyDescent="0.35"/>
    <row r="30" ht="20.25" customHeight="1" x14ac:dyDescent="0.35"/>
    <row r="31" ht="20.25" customHeight="1" x14ac:dyDescent="0.35"/>
    <row r="32" ht="20.25" customHeight="1" x14ac:dyDescent="0.35"/>
    <row r="33" ht="20.25" customHeight="1" x14ac:dyDescent="0.35"/>
    <row r="34" ht="20.25" customHeight="1" x14ac:dyDescent="0.35"/>
    <row r="35" ht="20.25" customHeight="1" x14ac:dyDescent="0.35"/>
    <row r="36" ht="20.25" customHeight="1" x14ac:dyDescent="0.35"/>
    <row r="37" ht="20.25" customHeight="1" x14ac:dyDescent="0.35"/>
    <row r="38" ht="20.25" customHeight="1" x14ac:dyDescent="0.35"/>
    <row r="39" ht="20.25" customHeight="1" x14ac:dyDescent="0.35"/>
    <row r="40" ht="20.25" customHeight="1" x14ac:dyDescent="0.35"/>
    <row r="41" ht="20.25" customHeight="1" x14ac:dyDescent="0.35"/>
    <row r="42" ht="20.25" customHeight="1" x14ac:dyDescent="0.35"/>
    <row r="43" ht="20.25" customHeight="1" x14ac:dyDescent="0.35"/>
    <row r="44" ht="20.25" customHeight="1" x14ac:dyDescent="0.35"/>
    <row r="45" ht="20.25" customHeight="1" x14ac:dyDescent="0.35"/>
    <row r="46" ht="20.25" customHeight="1" x14ac:dyDescent="0.35"/>
    <row r="47" ht="20.25" customHeight="1" x14ac:dyDescent="0.35"/>
    <row r="48" ht="20.25" customHeight="1" x14ac:dyDescent="0.35"/>
    <row r="49" ht="20.25" customHeight="1" x14ac:dyDescent="0.35"/>
    <row r="50" ht="20.25" customHeight="1" x14ac:dyDescent="0.35"/>
    <row r="51" ht="20.25" customHeight="1" x14ac:dyDescent="0.35"/>
    <row r="52" ht="20.25" customHeight="1" x14ac:dyDescent="0.35"/>
    <row r="53" ht="20.25" customHeight="1" x14ac:dyDescent="0.35"/>
    <row r="54" ht="20.25" customHeight="1" x14ac:dyDescent="0.35"/>
    <row r="55" ht="20.25" customHeight="1" x14ac:dyDescent="0.35"/>
    <row r="56" ht="20.25" customHeight="1" x14ac:dyDescent="0.35"/>
    <row r="57" ht="20.25" customHeight="1" x14ac:dyDescent="0.35"/>
    <row r="58" ht="20.25" customHeight="1" x14ac:dyDescent="0.35"/>
    <row r="59" ht="20.25" customHeight="1" x14ac:dyDescent="0.35"/>
    <row r="60" ht="20.25" customHeight="1" x14ac:dyDescent="0.35"/>
    <row r="61" ht="20.25" customHeight="1" x14ac:dyDescent="0.35"/>
    <row r="62" ht="20.25" customHeight="1" x14ac:dyDescent="0.35"/>
    <row r="63" ht="20.25" customHeight="1" x14ac:dyDescent="0.35"/>
    <row r="64" ht="20.25" customHeight="1" x14ac:dyDescent="0.35"/>
    <row r="65" ht="20.25" customHeight="1" x14ac:dyDescent="0.35"/>
    <row r="66" ht="20.25" customHeight="1" x14ac:dyDescent="0.35"/>
    <row r="67" ht="20.25" customHeight="1" x14ac:dyDescent="0.35"/>
    <row r="68" ht="20.25" customHeight="1" x14ac:dyDescent="0.35"/>
    <row r="69" ht="20.25" customHeight="1" x14ac:dyDescent="0.35"/>
    <row r="70" ht="20.25" customHeight="1" x14ac:dyDescent="0.35"/>
    <row r="71" ht="20.25" customHeight="1" x14ac:dyDescent="0.35"/>
    <row r="72" ht="20.25" customHeight="1" x14ac:dyDescent="0.35"/>
    <row r="73" ht="20.25" customHeight="1" x14ac:dyDescent="0.35"/>
    <row r="74" ht="20.25" customHeight="1" x14ac:dyDescent="0.35"/>
    <row r="75" ht="20.25" customHeight="1" x14ac:dyDescent="0.35"/>
    <row r="76" ht="20.25" customHeight="1" x14ac:dyDescent="0.35"/>
    <row r="77" ht="20.25" customHeight="1" x14ac:dyDescent="0.35"/>
    <row r="78" ht="20.25" customHeight="1" x14ac:dyDescent="0.35"/>
    <row r="79" ht="20.25" customHeight="1" x14ac:dyDescent="0.35"/>
    <row r="80" ht="20.25" customHeight="1" x14ac:dyDescent="0.35"/>
    <row r="81" ht="20.25" customHeight="1" x14ac:dyDescent="0.35"/>
    <row r="82" ht="20.25" customHeight="1" x14ac:dyDescent="0.35"/>
    <row r="83" ht="20.25" customHeight="1" x14ac:dyDescent="0.35"/>
    <row r="84" ht="20.25" customHeight="1" x14ac:dyDescent="0.35"/>
    <row r="85" ht="20.25" customHeight="1" x14ac:dyDescent="0.35"/>
    <row r="86" ht="20.25" customHeight="1" x14ac:dyDescent="0.35"/>
    <row r="87" ht="20.25" customHeight="1" x14ac:dyDescent="0.35"/>
    <row r="88" ht="20.25" customHeight="1" x14ac:dyDescent="0.35"/>
    <row r="89" ht="20.25" customHeight="1" x14ac:dyDescent="0.35"/>
    <row r="90" ht="20.25" customHeight="1" x14ac:dyDescent="0.35"/>
    <row r="91" ht="20.25" customHeight="1" x14ac:dyDescent="0.35"/>
    <row r="92" ht="20.25" customHeight="1" x14ac:dyDescent="0.35"/>
    <row r="93" ht="20.25" customHeight="1" x14ac:dyDescent="0.35"/>
    <row r="94" ht="20.25" customHeight="1" x14ac:dyDescent="0.35"/>
    <row r="95" ht="20.25" customHeight="1" x14ac:dyDescent="0.35"/>
    <row r="96" ht="20.25" customHeight="1" x14ac:dyDescent="0.35"/>
    <row r="97" ht="20.25" customHeight="1" x14ac:dyDescent="0.35"/>
    <row r="98" ht="20.25" customHeight="1" x14ac:dyDescent="0.35"/>
    <row r="99" ht="20.25" customHeight="1" x14ac:dyDescent="0.35"/>
    <row r="100" ht="20.25" customHeight="1" x14ac:dyDescent="0.3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Expence</vt:lpstr>
      <vt:lpstr>Budget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KUNAL KUMAR</cp:lastModifiedBy>
  <dcterms:created xsi:type="dcterms:W3CDTF">2025-12-28T15:25:11Z</dcterms:created>
  <dcterms:modified xsi:type="dcterms:W3CDTF">2026-01-03T05:10:06Z</dcterms:modified>
</cp:coreProperties>
</file>